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s (last 72h)" sheetId="1" state="visible" r:id="rId1"/>
    <sheet xmlns:r="http://schemas.openxmlformats.org/officeDocument/2006/relationships" name="Backup (4-7 days)" sheetId="2" state="visible" r:id="rId2"/>
    <sheet xmlns:r="http://schemas.openxmlformats.org/officeDocument/2006/relationships" name="Coverage (all 200)" sheetId="3" state="visible" r:id="rId3"/>
    <sheet xmlns:r="http://schemas.openxmlformats.org/officeDocument/2006/relationships" name="Method &amp; Caveats" sheetId="4" state="visible" r:id="rId4"/>
  </sheets>
  <definedNames>
    <definedName name="_xlnm._FilterDatabase" localSheetId="0" hidden="1">'Openings (last 72h)'!$A$5:$K$56</definedName>
    <definedName name="_xlnm._FilterDatabase" localSheetId="1" hidden="1">'Backup (4-7 days)'!$A$5:$K$20</definedName>
    <definedName name="_xlnm._FilterDatabase" localSheetId="2" hidden="1">'Coverage (all 200)'!$A$4:$G$204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1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/>
    </xf>
    <xf numFmtId="1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/>
    </xf>
    <xf numFmtId="0" fontId="7" fillId="0" borderId="0" pivotButton="0" quotePrefix="0" xfId="0"/>
    <xf numFmtId="0" fontId="5" fillId="0" borderId="0" pivotButton="0" quotePrefix="0" xfId="0"/>
    <xf numFmtId="1" fontId="3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jpmorgan.com/us/en/jobs" TargetMode="External" Id="rId1"/><Relationship Type="http://schemas.openxmlformats.org/officeDocument/2006/relationships/hyperlink" Target="https://cardinalhealth.wd1.myworkdayjobs.com/EXT/job/US-Nationwide-FIELD/Business-Analyst_20185208-2" TargetMode="External" Id="rId2"/><Relationship Type="http://schemas.openxmlformats.org/officeDocument/2006/relationships/hyperlink" Target="https://elevancehealth.wd1.myworkdayjobs.com/ANT/job/GA-ATLANTA-740-W-PEACHTREE-ST-NW/Business-Analyst-III_JR202257" TargetMode="External" Id="rId3"/><Relationship Type="http://schemas.openxmlformats.org/officeDocument/2006/relationships/hyperlink" Target="https://elevancehealth.wd1.myworkdayjobs.com/ANT/job/VA-NORFOLK-5800-NORTHAMPTON-BLVD/Business-Analyst-II_JR201304" TargetMode="External" Id="rId4"/><Relationship Type="http://schemas.openxmlformats.org/officeDocument/2006/relationships/hyperlink" Target="https://citi.wd5.myworkdayjobs.com/2/job/Jacksonville-Florida-United-States/Lead-IT-Business-Analyst_26985716" TargetMode="External" Id="rId5"/><Relationship Type="http://schemas.openxmlformats.org/officeDocument/2006/relationships/hyperlink" Target="https://humana.wd5.myworkdayjobs.com/Humana_External_Career_Site/job/Remote-Nationwide/Lead--Audience-Data-Analyst_R-425449" TargetMode="External" Id="rId6"/><Relationship Type="http://schemas.openxmlformats.org/officeDocument/2006/relationships/hyperlink" Target="https://globalhr.wd5.myworkdayjobs.com/REC_RTX_Ext_Gateway/job/US-PR-AGUADILLA-110--Rd-110-N-Km-288--RD110/Data-Analyst-II--Hybrid---Aguadilla--PR-_01841221" TargetMode="External" Id="rId7"/><Relationship Type="http://schemas.openxmlformats.org/officeDocument/2006/relationships/hyperlink" Target="https://careers.albertsons.com/" TargetMode="External" Id="rId8"/><Relationship Type="http://schemas.openxmlformats.org/officeDocument/2006/relationships/hyperlink" Target="https://careers.oracle.com/jobs" TargetMode="External" Id="rId9"/><Relationship Type="http://schemas.openxmlformats.org/officeDocument/2006/relationships/hyperlink" Target="https://intel.wd1.myworkdayjobs.com/External/job/US-Arizona-Phoenix/Data-Analyst--Enterprise-Data-Governance-Team_JR0286387" TargetMode="External" Id="rId10"/><Relationship Type="http://schemas.openxmlformats.org/officeDocument/2006/relationships/hyperlink" Target="https://gdit.wd5.myworkdayjobs.com/External_Career_Site/job/USA-DC-Washington/Statistician-Data-Analyst_RQ226086-2" TargetMode="External" Id="rId11"/><Relationship Type="http://schemas.openxmlformats.org/officeDocument/2006/relationships/hyperlink" Target="https://gdit.wd5.myworkdayjobs.com/External_Career_Site/job/USA-MD-Annapolis-Junction/SNOW-Data-Analyst----TS-SCI-w-Poly_RQ226401-1" TargetMode="External" Id="rId12"/><Relationship Type="http://schemas.openxmlformats.org/officeDocument/2006/relationships/hyperlink" Target="https://gdit.wd5.myworkdayjobs.com/External_Career_Site/job/Any-Location--Remote/Senior-Strategic-Business-Analyst---Cloud-Expertise_RQ226088" TargetMode="External" Id="rId13"/><Relationship Type="http://schemas.openxmlformats.org/officeDocument/2006/relationships/hyperlink" Target="https://tiaa.wd1.myworkdayjobs.com/Search/job/Dallas-TX-USA/Lead-Data-Analyst_R260500020-2" TargetMode="External" Id="rId14"/><Relationship Type="http://schemas.openxmlformats.org/officeDocument/2006/relationships/hyperlink" Target="https://pnc.wd5.myworkdayjobs.com/External/job/PA---Pittsburgh-15222/Senior-Business-Analyst---Financial-Systems_R231436-1" TargetMode="External" Id="rId15"/><Relationship Type="http://schemas.openxmlformats.org/officeDocument/2006/relationships/hyperlink" Target="https://emcm.fa.us2.oraclecloud.com" TargetMode="External" Id="rId16"/><Relationship Type="http://schemas.openxmlformats.org/officeDocument/2006/relationships/hyperlink" Target="https://careers.jpmorgan.com/us/en/jobs" TargetMode="External" Id="rId17"/><Relationship Type="http://schemas.openxmlformats.org/officeDocument/2006/relationships/hyperlink" Target="https://cardinalhealth.wd1.myworkdayjobs.com/EXT/job/US-Nationwide-FIELD/Senior-Data-Analyst_20185427" TargetMode="External" Id="rId18"/><Relationship Type="http://schemas.openxmlformats.org/officeDocument/2006/relationships/hyperlink" Target="https://cardinalhealth.wd1.myworkdayjobs.com/EXT/job/US-Nationwide-FIELD/Business-Analyst_20185404" TargetMode="External" Id="rId19"/><Relationship Type="http://schemas.openxmlformats.org/officeDocument/2006/relationships/hyperlink" Target="https://cardinalhealth.wd1.myworkdayjobs.com/EXT/job/US-Nationwide-FIELD/Consultant--IT-Product-Implementation-Business-Analyst_20185405" TargetMode="External" Id="rId20"/><Relationship Type="http://schemas.openxmlformats.org/officeDocument/2006/relationships/hyperlink" Target="https://centene.wd5.myworkdayjobs.com/Centene_External/job/Remote-FL/Data-Analyst-III--Healthcare-Analytics-_1648823" TargetMode="External" Id="rId21"/><Relationship Type="http://schemas.openxmlformats.org/officeDocument/2006/relationships/hyperlink" Target="https://generalmotors.wd5.myworkdayjobs.com/Careers_GM/job/Warren-Michigan-United-States-of-America/Safety-Field-Investigations---Data-Analyst_JR-202615306-1" TargetMode="External" Id="rId22"/><Relationship Type="http://schemas.openxmlformats.org/officeDocument/2006/relationships/hyperlink" Target="https://hcmportal.wd5.myworkdayjobs.com/Search/job/US---UPS-CORPORATE-OFFICES-GACOR/CRM-Business-Analyst_R26027670" TargetMode="External" Id="rId23"/><Relationship Type="http://schemas.openxmlformats.org/officeDocument/2006/relationships/hyperlink" Target="https://capitalone.wd12.myworkdayjobs.com/Capital_One/job/McLean-VA/Business-Analyst-Intern---Summer-2027_R244322-1" TargetMode="External" Id="rId24"/><Relationship Type="http://schemas.openxmlformats.org/officeDocument/2006/relationships/hyperlink" Target="https://capitalone.wd12.myworkdayjobs.com/Capital_One/job/McLean-VA/Senior-Business-Analyst--Liquidity--Market--and-Capital-Risk-Oversight_R243495-1" TargetMode="External" Id="rId25"/><Relationship Type="http://schemas.openxmlformats.org/officeDocument/2006/relationships/hyperlink" Target="https://capitalone.wd12.myworkdayjobs.com/Capital_One/job/McLean-VA/Senior-Business-Analyst--In-person-Experience-Strategy_R248140-1" TargetMode="External" Id="rId26"/><Relationship Type="http://schemas.openxmlformats.org/officeDocument/2006/relationships/hyperlink" Target="https://capitalone.wd12.myworkdayjobs.com/Capital_One/job/Houston-TX/Senior-Business-Analyst--PULSE---Global-Payment-Network_R248918-1" TargetMode="External" Id="rId27"/><Relationship Type="http://schemas.openxmlformats.org/officeDocument/2006/relationships/hyperlink" Target="https://careers.oracle.com/jobs" TargetMode="External" Id="rId28"/><Relationship Type="http://schemas.openxmlformats.org/officeDocument/2006/relationships/hyperlink" Target="https://cisco.wd5.myworkdayjobs.com/Cisco_Careers/job/RTP-North-Carolina-US/Business-Analyst_2013474-1" TargetMode="External" Id="rId29"/><Relationship Type="http://schemas.openxmlformats.org/officeDocument/2006/relationships/hyperlink" Target="https://abbott.wd5.myworkdayjobs.com/abbottcareers/job/United-States---Minnesota---Plymouth/OpEx-Data-Analyst-I_31158893" TargetMode="External" Id="rId30"/><Relationship Type="http://schemas.openxmlformats.org/officeDocument/2006/relationships/hyperlink" Target="https://usbank.wd1.myworkdayjobs.com/US_Bank_Careers/job/Atlanta-GA/Marketing-Data-Analyst_2026-0024398" TargetMode="External" Id="rId31"/><Relationship Type="http://schemas.openxmlformats.org/officeDocument/2006/relationships/hyperlink" Target="https://www.amazon.jobs/en/jobs/10499284/communications-business-analyst-operations-internal-communications" TargetMode="External" Id="rId32"/><Relationship Type="http://schemas.openxmlformats.org/officeDocument/2006/relationships/hyperlink" Target="https://www.amazon.jobs/en/jobs/10498619/business-analyst-iii-amz10666414" TargetMode="External" Id="rId33"/><Relationship Type="http://schemas.openxmlformats.org/officeDocument/2006/relationships/hyperlink" Target="https://www.amazon.jobs/en/jobs/10498893/business-analyst-fuse-billing-operations" TargetMode="External" Id="rId34"/><Relationship Type="http://schemas.openxmlformats.org/officeDocument/2006/relationships/hyperlink" Target="https://www.amazon.jobs/en/jobs/10498849/senior-business-analyst-seller-external-relations" TargetMode="External" Id="rId35"/><Relationship Type="http://schemas.openxmlformats.org/officeDocument/2006/relationships/hyperlink" Target="https://elevancehealth.wd1.myworkdayjobs.com/ANT/job/GA-ATLANTA-740-W-PEACHTREE-ST-NW/Business-Analyst-II_JR202664" TargetMode="External" Id="rId36"/><Relationship Type="http://schemas.openxmlformats.org/officeDocument/2006/relationships/hyperlink" Target="https://elevancehealth.wd1.myworkdayjobs.com/ANT/job/TX-GRAND-PRAIRIE-2505-N-HWY-360-STE-200--300/Sr-Test-Analyst-PBM--Business-Analyst-III-_JR200042-1" TargetMode="External" Id="rId37"/><Relationship Type="http://schemas.openxmlformats.org/officeDocument/2006/relationships/hyperlink" Target="https://ms.wd5.myworkdayjobs.com/External/job/Boston-Massachusetts-United-States-of-America/Lead-Business-Analyst---Parametric_PT-JR038385" TargetMode="External" Id="rId38"/><Relationship Type="http://schemas.openxmlformats.org/officeDocument/2006/relationships/hyperlink" Target="https://disney.wd5.myworkdayjobs.com/disneycareer/job/New-York-CA-USA/Sr-Business-Analyst_10157209-1" TargetMode="External" Id="rId39"/><Relationship Type="http://schemas.openxmlformats.org/officeDocument/2006/relationships/hyperlink" Target="https://capitalone.wd12.myworkdayjobs.com/Capital_One/job/McLean-VA/Senior-Business-Analyst---Credit-Reporting---Performance_R248806-1" TargetMode="External" Id="rId40"/><Relationship Type="http://schemas.openxmlformats.org/officeDocument/2006/relationships/hyperlink" Target="https://capitalone.wd12.myworkdayjobs.com/Capital_One/job/Houston-TX/Senior-Business-Analyst--PULSE---Global-Payment-Network_R248919-1" TargetMode="External" Id="rId41"/><Relationship Type="http://schemas.openxmlformats.org/officeDocument/2006/relationships/hyperlink" Target="https://gdit.wd5.myworkdayjobs.com/External_Career_Site/job/USA-FL-MacDill-AFB/Senior-Business-Analyst_RQ225710-1" TargetMode="External" Id="rId42"/><Relationship Type="http://schemas.openxmlformats.org/officeDocument/2006/relationships/hyperlink" Target="https://usaa.wd1.myworkdayjobs.com/USAAJOBSWD/job/Charlotte-NC---CENTS/Audit-Data-Analyst---Senior-Auditor--I-_R0117731" TargetMode="External" Id="rId43"/><Relationship Type="http://schemas.openxmlformats.org/officeDocument/2006/relationships/hyperlink" Target="https://usbank.wd1.myworkdayjobs.com/US_Bank_Careers/job/Saint-Paul-MN/Business-Technology-Analyst---Operations_2026-0012731" TargetMode="External" Id="rId44"/><Relationship Type="http://schemas.openxmlformats.org/officeDocument/2006/relationships/hyperlink" Target="https://fa-etum-saasfaprod1.fa.ocs.oraclecloud.com" TargetMode="External" Id="rId45"/><Relationship Type="http://schemas.openxmlformats.org/officeDocument/2006/relationships/hyperlink" Target="https://mckesson.wd3.myworkdayjobs.com/External_Careers/job/USA-TX-Irving/Sr-SAP-Vistex-Business-Analyst_JR0152006" TargetMode="External" Id="rId46"/><Relationship Type="http://schemas.openxmlformats.org/officeDocument/2006/relationships/hyperlink" Target="https://mpc.wd1.myworkdayjobs.com/MPCCareers/job/Findlay-Ohio/Senior-Lead-Business-Analyst_00023212" TargetMode="External" Id="rId47"/><Relationship Type="http://schemas.openxmlformats.org/officeDocument/2006/relationships/hyperlink" Target="https://freddiemac.wd5.myworkdayjobs.com/External/job/McLean-VA/Single-Family-Business-Analyst_JR17442" TargetMode="External" Id="rId48"/><Relationship Type="http://schemas.openxmlformats.org/officeDocument/2006/relationships/hyperlink" Target="https://capitalone.wd12.myworkdayjobs.com/Capital_One/job/McLean-VA/Senior-Data-Analyst---Card_R248928-1" TargetMode="External" Id="rId49"/><Relationship Type="http://schemas.openxmlformats.org/officeDocument/2006/relationships/hyperlink" Target="https://capitalone.wd12.myworkdayjobs.com/Capital_One/job/McLean-VA/Sr-Data-Analyst---Card_R248849-1" TargetMode="External" Id="rId50"/><Relationship Type="http://schemas.openxmlformats.org/officeDocument/2006/relationships/hyperlink" Target="https://capitalone.wd12.myworkdayjobs.com/Capital_One/job/Plano-TX/Sr-Business-Analyst_R248897" TargetMode="External" Id="rId5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jobs/en/jobs/10496069/senior-business-analyst-goest-global-operations-enterprise-services-tech" TargetMode="External" Id="rId1"/><Relationship Type="http://schemas.openxmlformats.org/officeDocument/2006/relationships/hyperlink" Target="https://careers.jpmorgan.com/us/en/jobs" TargetMode="External" Id="rId2"/><Relationship Type="http://schemas.openxmlformats.org/officeDocument/2006/relationships/hyperlink" Target="https://cardinalhealth.wd1.myworkdayjobs.com/EXT/job/US-Nationwide-FIELD/Data-Analyst_20185076" TargetMode="External" Id="rId3"/><Relationship Type="http://schemas.openxmlformats.org/officeDocument/2006/relationships/hyperlink" Target="https://cardinalhealth.wd1.myworkdayjobs.com/EXT/job/US-Nationwide-FIELD/Genesys-Cloud---Business-Analyst_20184929" TargetMode="External" Id="rId4"/><Relationship Type="http://schemas.openxmlformats.org/officeDocument/2006/relationships/hyperlink" Target="https://mpc.wd1.myworkdayjobs.com/MPCCareers/job/Findlay-Ohio/Senior-Lead-Data-Analyst---Strategy---Business-Development---Central-Support---Predictive-Intelligence_00023202" TargetMode="External" Id="rId5"/><Relationship Type="http://schemas.openxmlformats.org/officeDocument/2006/relationships/hyperlink" Target="https://ms.wd5.myworkdayjobs.com/External/job/New-York-New-York-United-States-of-America/Lead-Business-Analyst_PT-JR041640-1" TargetMode="External" Id="rId6"/><Relationship Type="http://schemas.openxmlformats.org/officeDocument/2006/relationships/hyperlink" Target="https://globalhr.wd5.myworkdayjobs.com/REC_RTX_Ext_Gateway/job/US-PR-SANTA-ISABEL-B1--Felicia-Industrial-Park---St-B1--BLDG-1/Sr-Data-Analyst--Puerto-Rico-_01865432" TargetMode="External" Id="rId7"/><Relationship Type="http://schemas.openxmlformats.org/officeDocument/2006/relationships/hyperlink" Target="https://gdit.wd5.myworkdayjobs.com/External_Career_Site/job/Any-Location--Remote/Business-Data-Analyst_RQ226032-1" TargetMode="External" Id="rId8"/><Relationship Type="http://schemas.openxmlformats.org/officeDocument/2006/relationships/hyperlink" Target="https://gdit.wd5.myworkdayjobs.com/External_Career_Site/job/Any-Location--Remote/Lead-Business-Data-Analyst_RQ226036" TargetMode="External" Id="rId9"/><Relationship Type="http://schemas.openxmlformats.org/officeDocument/2006/relationships/hyperlink" Target="https://gdit.wd5.myworkdayjobs.com/External_Career_Site/job/Any-Location--Remote/Lead-Business-Analyst_RQ207291-1" TargetMode="External" Id="rId10"/><Relationship Type="http://schemas.openxmlformats.org/officeDocument/2006/relationships/hyperlink" Target="https://coke.wd1.myworkdayjobs.com/coca-cola-careers/job/US---GA---Atlanta/Senior-Manager--Data-Value-Architech--ROI-Analyst-_R-144425" TargetMode="External" Id="rId11"/><Relationship Type="http://schemas.openxmlformats.org/officeDocument/2006/relationships/hyperlink" Target="https://dollartree.wd5.myworkdayjobs.com/dollartreeus/job/VA-Chesapeake/Business-Analyst---Data-Analytics---Reporting_R-310323" TargetMode="External" Id="rId12"/><Relationship Type="http://schemas.openxmlformats.org/officeDocument/2006/relationships/hyperlink" Target="https://target.wd5.myworkdayjobs.com/targetcareers/job/1000-Nicollet-Mall-MinneapolisMN-55403-2542/Sr-Data-Analyst---Digital-and-Ecommerce_R0000437894" TargetMode="External" Id="rId13"/><Relationship Type="http://schemas.openxmlformats.org/officeDocument/2006/relationships/hyperlink" Target="https://capitalone.wd12.myworkdayjobs.com/Capital_One/job/McLean-VA/Senior-Business-Analyst---Strategy---Transformation--Model-Risk-_R247112-1" TargetMode="External" Id="rId14"/><Relationship Type="http://schemas.openxmlformats.org/officeDocument/2006/relationships/hyperlink" Target="https://blackrock.wd1.myworkdayjobs.com/BlackRock_Professional/job/New-York-NY/Business-Intelligence-Developer-Business-Analyst---PFS_R265901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jobs/en/" TargetMode="External" Id="rId1"/><Relationship Type="http://schemas.openxmlformats.org/officeDocument/2006/relationships/hyperlink" Target="https://walmart.wd5.myworkdayjobs.com/WalmartExternal" TargetMode="External" Id="rId2"/><Relationship Type="http://schemas.openxmlformats.org/officeDocument/2006/relationships/hyperlink" Target="https://careers.unitedhealthgroup.com/" TargetMode="External" Id="rId3"/><Relationship Type="http://schemas.openxmlformats.org/officeDocument/2006/relationships/hyperlink" Target="https://jobs.apple.com/en-us/search" TargetMode="External" Id="rId4"/><Relationship Type="http://schemas.openxmlformats.org/officeDocument/2006/relationships/hyperlink" Target="https://www.google.com/about/careers/applications/jobs/results/" TargetMode="External" Id="rId5"/><Relationship Type="http://schemas.openxmlformats.org/officeDocument/2006/relationships/hyperlink" Target="https://cvshealth.wd1.myworkdayjobs.com/CVS_Health_Careers" TargetMode="External" Id="rId6"/><Relationship Type="http://schemas.openxmlformats.org/officeDocument/2006/relationships/hyperlink" Target="https://www.berkshirehathaway.com/careers/careers.html" TargetMode="External" Id="rId7"/><Relationship Type="http://schemas.openxmlformats.org/officeDocument/2006/relationships/hyperlink" Target="https://mckesson.wd3.myworkdayjobs.com/External_Careers" TargetMode="External" Id="rId8"/><Relationship Type="http://schemas.openxmlformats.org/officeDocument/2006/relationships/hyperlink" Target="https://jobs.exxonmobil.com/" TargetMode="External" Id="rId9"/><Relationship Type="http://schemas.openxmlformats.org/officeDocument/2006/relationships/hyperlink" Target="https://myhrabc.wd5.myworkdayjobs.com/Global" TargetMode="External" Id="rId10"/><Relationship Type="http://schemas.openxmlformats.org/officeDocument/2006/relationships/hyperlink" Target="https://jobs.careers.microsoft.com/global/en/search" TargetMode="External" Id="rId11"/><Relationship Type="http://schemas.openxmlformats.org/officeDocument/2006/relationships/hyperlink" Target="https://careers.jpmorgan.com/us/en/jobs" TargetMode="External" Id="rId12"/><Relationship Type="http://schemas.openxmlformats.org/officeDocument/2006/relationships/hyperlink" Target="https://careers.costco.com/" TargetMode="External" Id="rId13"/><Relationship Type="http://schemas.openxmlformats.org/officeDocument/2006/relationships/hyperlink" Target="https://cigna.wd5.myworkdayjobs.com/cignacareers" TargetMode="External" Id="rId14"/><Relationship Type="http://schemas.openxmlformats.org/officeDocument/2006/relationships/hyperlink" Target="https://cardinalhealth.wd1.myworkdayjobs.com/EXT" TargetMode="External" Id="rId15"/><Relationship Type="http://schemas.openxmlformats.org/officeDocument/2006/relationships/hyperlink" Target="https://nvidia.wd5.myworkdayjobs.com/NVIDIAExternalCareerSite" TargetMode="External" Id="rId16"/><Relationship Type="http://schemas.openxmlformats.org/officeDocument/2006/relationships/hyperlink" Target="https://www.metacareers.com/jobs" TargetMode="External" Id="rId17"/><Relationship Type="http://schemas.openxmlformats.org/officeDocument/2006/relationships/hyperlink" Target="https://elevancehealth.wd1.myworkdayjobs.com/ANT" TargetMode="External" Id="rId18"/><Relationship Type="http://schemas.openxmlformats.org/officeDocument/2006/relationships/hyperlink" Target="https://centene.wd5.myworkdayjobs.com/Centene_External" TargetMode="External" Id="rId19"/><Relationship Type="http://schemas.openxmlformats.org/officeDocument/2006/relationships/hyperlink" Target="https://careers.bankofamerica.com/en-us/job-search" TargetMode="External" Id="rId20"/><Relationship Type="http://schemas.openxmlformats.org/officeDocument/2006/relationships/hyperlink" Target="https://chevron.wd5.myworkdayjobs.com/jobs" TargetMode="External" Id="rId21"/><Relationship Type="http://schemas.openxmlformats.org/officeDocument/2006/relationships/hyperlink" Target="https://careers.ford.com/" TargetMode="External" Id="rId22"/><Relationship Type="http://schemas.openxmlformats.org/officeDocument/2006/relationships/hyperlink" Target="https://generalmotors.wd5.myworkdayjobs.com/Careers_GM" TargetMode="External" Id="rId23"/><Relationship Type="http://schemas.openxmlformats.org/officeDocument/2006/relationships/hyperlink" Target="https://citi.wd5.myworkdayjobs.com/2" TargetMode="External" Id="rId24"/><Relationship Type="http://schemas.openxmlformats.org/officeDocument/2006/relationships/hyperlink" Target="https://homedepot.wd5.myworkdayjobs.com/CareerDepot" TargetMode="External" Id="rId25"/><Relationship Type="http://schemas.openxmlformats.org/officeDocument/2006/relationships/hyperlink" Target="https://fanniemae.wd1.myworkdayjobs.com/FannieMaeCareers" TargetMode="External" Id="rId26"/><Relationship Type="http://schemas.openxmlformats.org/officeDocument/2006/relationships/hyperlink" Target="https://jobs.kroger.com/" TargetMode="External" Id="rId27"/><Relationship Type="http://schemas.openxmlformats.org/officeDocument/2006/relationships/hyperlink" Target="https://verizon.wd5.myworkdayjobs.com/verizon-careers" TargetMode="External" Id="rId28"/><Relationship Type="http://schemas.openxmlformats.org/officeDocument/2006/relationships/hyperlink" Target="https://jobs.phillips66.com/" TargetMode="External" Id="rId29"/><Relationship Type="http://schemas.openxmlformats.org/officeDocument/2006/relationships/hyperlink" Target="https://mpc.wd1.myworkdayjobs.com/MPCCareers" TargetMode="External" Id="rId30"/><Relationship Type="http://schemas.openxmlformats.org/officeDocument/2006/relationships/hyperlink" Target="https://www.stonex.com/en/careers/" TargetMode="External" Id="rId31"/><Relationship Type="http://schemas.openxmlformats.org/officeDocument/2006/relationships/hyperlink" Target="https://jobs.statefarm.com/" TargetMode="External" Id="rId32"/><Relationship Type="http://schemas.openxmlformats.org/officeDocument/2006/relationships/hyperlink" Target="https://freddiemac.wd5.myworkdayjobs.com/External" TargetMode="External" Id="rId33"/><Relationship Type="http://schemas.openxmlformats.org/officeDocument/2006/relationships/hyperlink" Target="https://humana.wd5.myworkdayjobs.com/Humana_External_Career_Site" TargetMode="External" Id="rId34"/><Relationship Type="http://schemas.openxmlformats.org/officeDocument/2006/relationships/hyperlink" Target="https://www.att.jobs/" TargetMode="External" Id="rId35"/><Relationship Type="http://schemas.openxmlformats.org/officeDocument/2006/relationships/hyperlink" Target="https://higher.gs.com/roles" TargetMode="External" Id="rId36"/><Relationship Type="http://schemas.openxmlformats.org/officeDocument/2006/relationships/hyperlink" Target="https://comcast.wd5.myworkdayjobs.com/Comcast_Careers" TargetMode="External" Id="rId37"/><Relationship Type="http://schemas.openxmlformats.org/officeDocument/2006/relationships/hyperlink" Target="https://wf.wd1.myworkdayjobs.com/WellsFargoJobs" TargetMode="External" Id="rId38"/><Relationship Type="http://schemas.openxmlformats.org/officeDocument/2006/relationships/hyperlink" Target="https://ms.wd5.myworkdayjobs.com/External" TargetMode="External" Id="rId39"/><Relationship Type="http://schemas.openxmlformats.org/officeDocument/2006/relationships/hyperlink" Target="https://www.valero.com/careers" TargetMode="External" Id="rId40"/><Relationship Type="http://schemas.openxmlformats.org/officeDocument/2006/relationships/hyperlink" Target="https://dell.wd1.myworkdayjobs.com/External" TargetMode="External" Id="rId41"/><Relationship Type="http://schemas.openxmlformats.org/officeDocument/2006/relationships/hyperlink" Target="https://target.wd5.myworkdayjobs.com/targetcareers" TargetMode="External" Id="rId42"/><Relationship Type="http://schemas.openxmlformats.org/officeDocument/2006/relationships/hyperlink" Target="https://www.tesla.com/careers/search/" TargetMode="External" Id="rId43"/><Relationship Type="http://schemas.openxmlformats.org/officeDocument/2006/relationships/hyperlink" Target="https://disney.wd5.myworkdayjobs.com/disneycareer" TargetMode="External" Id="rId44"/><Relationship Type="http://schemas.openxmlformats.org/officeDocument/2006/relationships/hyperlink" Target="https://jj.wd5.myworkdayjobs.com/JJ" TargetMode="External" Id="rId45"/><Relationship Type="http://schemas.openxmlformats.org/officeDocument/2006/relationships/hyperlink" Target="https://www.pepsicojobs.com/" TargetMode="External" Id="rId46"/><Relationship Type="http://schemas.openxmlformats.org/officeDocument/2006/relationships/hyperlink" Target="https://boeing.wd1.myworkdayjobs.com/EXTERNAL_CAREERS" TargetMode="External" Id="rId47"/><Relationship Type="http://schemas.openxmlformats.org/officeDocument/2006/relationships/hyperlink" Target="https://hcmportal.wd5.myworkdayjobs.com/Search" TargetMode="External" Id="rId48"/><Relationship Type="http://schemas.openxmlformats.org/officeDocument/2006/relationships/hyperlink" Target="https://globalhr.wd5.myworkdayjobs.com/REC_RTX_Ext_Gateway" TargetMode="External" Id="rId49"/><Relationship Type="http://schemas.openxmlformats.org/officeDocument/2006/relationships/hyperlink" Target="https://fedex.wd1.myworkdayjobs.com/FDW_External_Career_Site" TargetMode="External" Id="rId50"/><Relationship Type="http://schemas.openxmlformats.org/officeDocument/2006/relationships/hyperlink" Target="https://careers.progressive.com/" TargetMode="External" Id="rId51"/><Relationship Type="http://schemas.openxmlformats.org/officeDocument/2006/relationships/hyperlink" Target="https://lowes.wd5.myworkdayjobs.com/LWS_External_CS" TargetMode="External" Id="rId52"/><Relationship Type="http://schemas.openxmlformats.org/officeDocument/2006/relationships/hyperlink" Target="https://www.energytransfer.com/careers/" TargetMode="External" Id="rId53"/><Relationship Type="http://schemas.openxmlformats.org/officeDocument/2006/relationships/hyperlink" Target="https://pg.wd5.myworkdayjobs.com/1000" TargetMode="External" Id="rId54"/><Relationship Type="http://schemas.openxmlformats.org/officeDocument/2006/relationships/hyperlink" Target="https://sysco.wd5.myworkdayjobs.com/syscocareers" TargetMode="External" Id="rId55"/><Relationship Type="http://schemas.openxmlformats.org/officeDocument/2006/relationships/hyperlink" Target="https://www.americanexpress.com/en-us/careers/" TargetMode="External" Id="rId56"/><Relationship Type="http://schemas.openxmlformats.org/officeDocument/2006/relationships/hyperlink" Target="https://careers.albertsons.com/" TargetMode="External" Id="rId57"/><Relationship Type="http://schemas.openxmlformats.org/officeDocument/2006/relationships/hyperlink" Target="https://careers.adm.com/" TargetMode="External" Id="rId58"/><Relationship Type="http://schemas.openxmlformats.org/officeDocument/2006/relationships/hyperlink" Target="https://careers.metlife.com/" TargetMode="External" Id="rId59"/><Relationship Type="http://schemas.openxmlformats.org/officeDocument/2006/relationships/hyperlink" Target="https://hcahealthcare.wd3.myworkdayjobs.com/hcacareers" TargetMode="External" Id="rId60"/><Relationship Type="http://schemas.openxmlformats.org/officeDocument/2006/relationships/hyperlink" Target="https://www.lockheedmartinjobs.com/" TargetMode="External" Id="rId61"/><Relationship Type="http://schemas.openxmlformats.org/officeDocument/2006/relationships/hyperlink" Target="https://www.newyorklife.com/careers" TargetMode="External" Id="rId62"/><Relationship Type="http://schemas.openxmlformats.org/officeDocument/2006/relationships/hyperlink" Target="https://capitalone.wd12.myworkdayjobs.com/Capital_One" TargetMode="External" Id="rId63"/><Relationship Type="http://schemas.openxmlformats.org/officeDocument/2006/relationships/hyperlink" Target="https://allstate.wd5.myworkdayjobs.com/allstate_careers" TargetMode="External" Id="rId64"/><Relationship Type="http://schemas.openxmlformats.org/officeDocument/2006/relationships/hyperlink" Target="https://cat.wd5.myworkdayjobs.com/CaterpillarCareers" TargetMode="External" Id="rId65"/><Relationship Type="http://schemas.openxmlformats.org/officeDocument/2006/relationships/hyperlink" Target="https://www.ibm.com/careers/search" TargetMode="External" Id="rId66"/><Relationship Type="http://schemas.openxmlformats.org/officeDocument/2006/relationships/hyperlink" Target="https://lilly.wd5.myworkdayjobs.com/LLY" TargetMode="External" Id="rId67"/><Relationship Type="http://schemas.openxmlformats.org/officeDocument/2006/relationships/hyperlink" Target="https://msd.wd5.myworkdayjobs.com/SearchJobs" TargetMode="External" Id="rId68"/><Relationship Type="http://schemas.openxmlformats.org/officeDocument/2006/relationships/hyperlink" Target="https://nationwide.wd1.myworkdayjobs.com/Nationwide_Career" TargetMode="External" Id="rId69"/><Relationship Type="http://schemas.openxmlformats.org/officeDocument/2006/relationships/hyperlink" Target="https://broadcom.wd1.myworkdayjobs.com/External_Career" TargetMode="External" Id="rId70"/><Relationship Type="http://schemas.openxmlformats.org/officeDocument/2006/relationships/hyperlink" Target="https://careers.delta.com/" TargetMode="External" Id="rId71"/><Relationship Type="http://schemas.openxmlformats.org/officeDocument/2006/relationships/hyperlink" Target="https://corporate.publix.com/careers" TargetMode="External" Id="rId72"/><Relationship Type="http://schemas.openxmlformats.org/officeDocument/2006/relationships/hyperlink" Target="https://pfizer.wd1.myworkdayjobs.com/PfizerCareers" TargetMode="External" Id="rId73"/><Relationship Type="http://schemas.openxmlformats.org/officeDocument/2006/relationships/hyperlink" Target="https://careers.tdsynnex.com/" TargetMode="External" Id="rId74"/><Relationship Type="http://schemas.openxmlformats.org/officeDocument/2006/relationships/hyperlink" Target="https://conocophillips.wd1.myworkdayjobs.com/External" TargetMode="External" Id="rId75"/><Relationship Type="http://schemas.openxmlformats.org/officeDocument/2006/relationships/hyperlink" Target="https://www.galaxy.com/careers/" TargetMode="External" Id="rId76"/><Relationship Type="http://schemas.openxmlformats.org/officeDocument/2006/relationships/hyperlink" Target="https://careers.abbvie.com/en" TargetMode="External" Id="rId77"/><Relationship Type="http://schemas.openxmlformats.org/officeDocument/2006/relationships/hyperlink" Target="https://pru.wd5.myworkdayjobs.com/Careers" TargetMode="External" Id="rId78"/><Relationship Type="http://schemas.openxmlformats.org/officeDocument/2006/relationships/hyperlink" Target="https://tjx.wd1.myworkdayjobs.com/TJX_EXTERNAL" TargetMode="External" Id="rId79"/><Relationship Type="http://schemas.openxmlformats.org/officeDocument/2006/relationships/hyperlink" Target="https://www.pfgc.com/Careers" TargetMode="External" Id="rId80"/><Relationship Type="http://schemas.openxmlformats.org/officeDocument/2006/relationships/hyperlink" Target="https://careers.united.com/" TargetMode="External" Id="rId81"/><Relationship Type="http://schemas.openxmlformats.org/officeDocument/2006/relationships/hyperlink" Target="https://careers.oracle.com/jobs" TargetMode="External" Id="rId82"/><Relationship Type="http://schemas.openxmlformats.org/officeDocument/2006/relationships/hyperlink" Target="https://cisco.wd5.myworkdayjobs.com/Cisco_Careers" TargetMode="External" Id="rId83"/><Relationship Type="http://schemas.openxmlformats.org/officeDocument/2006/relationships/hyperlink" Target="https://hp.wd5.myworkdayjobs.com/ExternalCareerSite" TargetMode="External" Id="rId84"/><Relationship Type="http://schemas.openxmlformats.org/officeDocument/2006/relationships/hyperlink" Target="https://jobs.spectrum.com/" TargetMode="External" Id="rId85"/><Relationship Type="http://schemas.openxmlformats.org/officeDocument/2006/relationships/hyperlink" Target="https://jobs.aa.com/" TargetMode="External" Id="rId86"/><Relationship Type="http://schemas.openxmlformats.org/officeDocument/2006/relationships/hyperlink" Target="https://tysonfoods.wd5.myworkdayjobs.com/TSN" TargetMode="External" Id="rId87"/><Relationship Type="http://schemas.openxmlformats.org/officeDocument/2006/relationships/hyperlink" Target="https://intel.wd1.myworkdayjobs.com/External" TargetMode="External" Id="rId88"/><Relationship Type="http://schemas.openxmlformats.org/officeDocument/2006/relationships/hyperlink" Target="https://www.enterpriseproducts.com/careers" TargetMode="External" Id="rId89"/><Relationship Type="http://schemas.openxmlformats.org/officeDocument/2006/relationships/hyperlink" Target="https://jobs.ingrammicro.com/" TargetMode="External" Id="rId90"/><Relationship Type="http://schemas.openxmlformats.org/officeDocument/2006/relationships/hyperlink" Target="https://gdit.wd5.myworkdayjobs.com/External_Career_Site" TargetMode="External" Id="rId91"/><Relationship Type="http://schemas.openxmlformats.org/officeDocument/2006/relationships/hyperlink" Target="https://www.uber.com/us/en/careers/list/" TargetMode="External" Id="rId92"/><Relationship Type="http://schemas.openxmlformats.org/officeDocument/2006/relationships/hyperlink" Target="https://usaa.wd1.myworkdayjobs.com/USAAJOBSWD" TargetMode="External" Id="rId93"/><Relationship Type="http://schemas.openxmlformats.org/officeDocument/2006/relationships/hyperlink" Target="https://tiaa.wd1.myworkdayjobs.com/Search" TargetMode="External" Id="rId94"/><Relationship Type="http://schemas.openxmlformats.org/officeDocument/2006/relationships/hyperlink" Target="https://jobs.libertymutualgroup.com/" TargetMode="External" Id="rId95"/><Relationship Type="http://schemas.openxmlformats.org/officeDocument/2006/relationships/hyperlink" Target="https://travelers.wd5.myworkdayjobs.com/External" TargetMode="External" Id="rId96"/><Relationship Type="http://schemas.openxmlformats.org/officeDocument/2006/relationships/hyperlink" Target="https://bristolmyerssquibb.wd5.myworkdayjobs.com/BMS" TargetMode="External" Id="rId97"/><Relationship Type="http://schemas.openxmlformats.org/officeDocument/2006/relationships/hyperlink" Target="https://coke.wd1.myworkdayjobs.com/coca-cola-careers" TargetMode="External" Id="rId98"/><Relationship Type="http://schemas.openxmlformats.org/officeDocument/2006/relationships/hyperlink" Target="https://nike.wd1.myworkdayjobs.com/nke" TargetMode="External" Id="rId99"/><Relationship Type="http://schemas.openxmlformats.org/officeDocument/2006/relationships/hyperlink" Target="https://massmutual.wd1.myworkdayjobs.com/MMAscendCareers" TargetMode="External" Id="rId100"/><Relationship Type="http://schemas.openxmlformats.org/officeDocument/2006/relationships/hyperlink" Target="https://www.geaerospace.com/careers" TargetMode="External" Id="rId101"/><Relationship Type="http://schemas.openxmlformats.org/officeDocument/2006/relationships/hyperlink" Target="https://careers.deere.com/" TargetMode="External" Id="rId102"/><Relationship Type="http://schemas.openxmlformats.org/officeDocument/2006/relationships/hyperlink" Target="https://www.plains.com/careers" TargetMode="External" Id="rId103"/><Relationship Type="http://schemas.openxmlformats.org/officeDocument/2006/relationships/hyperlink" Target="https://careers.molinahealthcare.com/" TargetMode="External" Id="rId104"/><Relationship Type="http://schemas.openxmlformats.org/officeDocument/2006/relationships/hyperlink" Target="https://explore.jobs.netflix.net/careers" TargetMode="External" Id="rId105"/><Relationship Type="http://schemas.openxmlformats.org/officeDocument/2006/relationships/hyperlink" Target="https://jobs.thermofisher.com/" TargetMode="External" Id="rId106"/><Relationship Type="http://schemas.openxmlformats.org/officeDocument/2006/relationships/hyperlink" Target="https://www.jobs.abbott/" TargetMode="External" Id="rId107"/><Relationship Type="http://schemas.openxmlformats.org/officeDocument/2006/relationships/hyperlink" Target="https://careers.qualcomm.com/" TargetMode="External" Id="rId108"/><Relationship Type="http://schemas.openxmlformats.org/officeDocument/2006/relationships/hyperlink" Target="https://careers.northwesternmutual.com/" TargetMode="External" Id="rId109"/><Relationship Type="http://schemas.openxmlformats.org/officeDocument/2006/relationships/hyperlink" Target="https://careers.usbank.com/" TargetMode="External" Id="rId110"/><Relationship Type="http://schemas.openxmlformats.org/officeDocument/2006/relationships/hyperlink" Target="https://careers.dollargeneral.com/" TargetMode="External" Id="rId111"/><Relationship Type="http://schemas.openxmlformats.org/officeDocument/2006/relationships/hyperlink" Target="https://www.northropgrumman.com/careers" TargetMode="External" Id="rId112"/><Relationship Type="http://schemas.openxmlformats.org/officeDocument/2006/relationships/hyperlink" Target="https://jobs.bestbuy.com/" TargetMode="External" Id="rId113"/><Relationship Type="http://schemas.openxmlformats.org/officeDocument/2006/relationships/hyperlink" Target="https://careers.salesforce.com/en/jobs/" TargetMode="External" Id="rId114"/><Relationship Type="http://schemas.openxmlformats.org/officeDocument/2006/relationships/hyperlink" Target="https://jobs.bny.com/" TargetMode="External" Id="rId115"/><Relationship Type="http://schemas.openxmlformats.org/officeDocument/2006/relationships/hyperlink" Target="https://careers.honeywell.com/us/en" TargetMode="External" Id="rId116"/><Relationship Type="http://schemas.openxmlformats.org/officeDocument/2006/relationships/hyperlink" Target="https://www.pmi.com/careers" TargetMode="External" Id="rId117"/><Relationship Type="http://schemas.openxmlformats.org/officeDocument/2006/relationships/hyperlink" Target="https://careers.cbre.com/" TargetMode="External" Id="rId118"/><Relationship Type="http://schemas.openxmlformats.org/officeDocument/2006/relationships/hyperlink" Target="https://corporate.visa.com/en/jobs/" TargetMode="External" Id="rId119"/><Relationship Type="http://schemas.openxmlformats.org/officeDocument/2006/relationships/hyperlink" Target="https://corporate.dow.com/en-us/careers.html" TargetMode="External" Id="rId120"/><Relationship Type="http://schemas.openxmlformats.org/officeDocument/2006/relationships/hyperlink" Target="https://careers.usfoods.com/" TargetMode="External" Id="rId121"/><Relationship Type="http://schemas.openxmlformats.org/officeDocument/2006/relationships/hyperlink" Target="https://www.mondelezinternational.com/careers/" TargetMode="External" Id="rId122"/><Relationship Type="http://schemas.openxmlformats.org/officeDocument/2006/relationships/hyperlink" Target="https://careers.lithiadriveway.com/" TargetMode="External" Id="rId123"/><Relationship Type="http://schemas.openxmlformats.org/officeDocument/2006/relationships/hyperlink" Target="https://jobs.gevernova.com/" TargetMode="External" Id="rId124"/><Relationship Type="http://schemas.openxmlformats.org/officeDocument/2006/relationships/hyperlink" Target="https://careers.micron.com/" TargetMode="External" Id="rId125"/><Relationship Type="http://schemas.openxmlformats.org/officeDocument/2006/relationships/hyperlink" Target="https://careers.wbd.com/" TargetMode="External" Id="rId126"/><Relationship Type="http://schemas.openxmlformats.org/officeDocument/2006/relationships/hyperlink" Target="https://careers.starbucks.com/" TargetMode="External" Id="rId127"/><Relationship Type="http://schemas.openxmlformats.org/officeDocument/2006/relationships/hyperlink" Target="https://www.worldkinect.com/careers" TargetMode="External" Id="rId128"/><Relationship Type="http://schemas.openxmlformats.org/officeDocument/2006/relationships/hyperlink" Target="https://careers.amgen.com/" TargetMode="External" Id="rId129"/><Relationship Type="http://schemas.openxmlformats.org/officeDocument/2006/relationships/hyperlink" Target="https://careers.chsinc.com/" TargetMode="External" Id="rId130"/><Relationship Type="http://schemas.openxmlformats.org/officeDocument/2006/relationships/hyperlink" Target="https://careers.amd.com/" TargetMode="External" Id="rId131"/><Relationship Type="http://schemas.openxmlformats.org/officeDocument/2006/relationships/hyperlink" Target="https://www.coupang.jobs/en/" TargetMode="External" Id="rId132"/><Relationship Type="http://schemas.openxmlformats.org/officeDocument/2006/relationships/hyperlink" Target="https://careers.hpe.com/" TargetMode="External" Id="rId133"/><Relationship Type="http://schemas.openxmlformats.org/officeDocument/2006/relationships/hyperlink" Target="https://careers.drhorton.com/" TargetMode="External" Id="rId134"/><Relationship Type="http://schemas.openxmlformats.org/officeDocument/2006/relationships/hyperlink" Target="https://careers.lennar.com/" TargetMode="External" Id="rId135"/><Relationship Type="http://schemas.openxmlformats.org/officeDocument/2006/relationships/hyperlink" Target="https://careers.pnc.com/" TargetMode="External" Id="rId136"/><Relationship Type="http://schemas.openxmlformats.org/officeDocument/2006/relationships/hyperlink" Target="https://careers.cummins.com/" TargetMode="External" Id="rId137"/><Relationship Type="http://schemas.openxmlformats.org/officeDocument/2006/relationships/hyperlink" Target="https://careers.oneok.com/" TargetMode="External" Id="rId138"/><Relationship Type="http://schemas.openxmlformats.org/officeDocument/2006/relationships/hyperlink" Target="https://careers.pypl.com/" TargetMode="External" Id="rId139"/><Relationship Type="http://schemas.openxmlformats.org/officeDocument/2006/relationships/hyperlink" Target="https://careers.guidewell.com/" TargetMode="External" Id="rId140"/><Relationship Type="http://schemas.openxmlformats.org/officeDocument/2006/relationships/hyperlink" Target="https://careers.mastercard.com/" TargetMode="External" Id="rId141"/><Relationship Type="http://schemas.openxmlformats.org/officeDocument/2006/relationships/hyperlink" Target="https://careers.nucor.com/" TargetMode="External" Id="rId142"/><Relationship Type="http://schemas.openxmlformats.org/officeDocument/2006/relationships/hyperlink" Target="https://www.apollo.com/careers" TargetMode="External" Id="rId143"/><Relationship Type="http://schemas.openxmlformats.org/officeDocument/2006/relationships/hyperlink" Target="https://www.penskecars.com/careers" TargetMode="External" Id="rId144"/><Relationship Type="http://schemas.openxmlformats.org/officeDocument/2006/relationships/hyperlink" Target="https://www.duke-energy.com/careers" TargetMode="External" Id="rId145"/><Relationship Type="http://schemas.openxmlformats.org/officeDocument/2006/relationships/hyperlink" Target="https://careers.unfi.com/" TargetMode="External" Id="rId146"/><Relationship Type="http://schemas.openxmlformats.org/officeDocument/2006/relationships/hyperlink" Target="https://www.ferguson.com/careers" TargetMode="External" Id="rId147"/><Relationship Type="http://schemas.openxmlformats.org/officeDocument/2006/relationships/hyperlink" Target="https://careers.arrow.com/" TargetMode="External" Id="rId148"/><Relationship Type="http://schemas.openxmlformats.org/officeDocument/2006/relationships/hyperlink" Target="https://www.nrg.com/careers.html" TargetMode="External" Id="rId149"/><Relationship Type="http://schemas.openxmlformats.org/officeDocument/2006/relationships/hyperlink" Target="https://careers.truist.com/" TargetMode="External" Id="rId150"/><Relationship Type="http://schemas.openxmlformats.org/officeDocument/2006/relationships/hyperlink" Target="https://jobs.jabil.com/" TargetMode="External" Id="rId151"/><Relationship Type="http://schemas.openxmlformats.org/officeDocument/2006/relationships/hyperlink" Target="https://careers.southerncompany.com/" TargetMode="External" Id="rId152"/><Relationship Type="http://schemas.openxmlformats.org/officeDocument/2006/relationships/hyperlink" Target="https://www.gilead.com/careers" TargetMode="External" Id="rId153"/><Relationship Type="http://schemas.openxmlformats.org/officeDocument/2006/relationships/hyperlink" Target="https://careers.pbfenergy.com/" TargetMode="External" Id="rId154"/><Relationship Type="http://schemas.openxmlformats.org/officeDocument/2006/relationships/hyperlink" Target="https://www.paramount.com/careers" TargetMode="External" Id="rId155"/><Relationship Type="http://schemas.openxmlformats.org/officeDocument/2006/relationships/hyperlink" Target="https://www.kkr.com/careers" TargetMode="External" Id="rId156"/><Relationship Type="http://schemas.openxmlformats.org/officeDocument/2006/relationships/hyperlink" Target="https://careers.quantaservices.com/" TargetMode="External" Id="rId157"/><Relationship Type="http://schemas.openxmlformats.org/officeDocument/2006/relationships/hyperlink" Target="https://www.paccar.com/careers/" TargetMode="External" Id="rId158"/><Relationship Type="http://schemas.openxmlformats.org/officeDocument/2006/relationships/hyperlink" Target="https://jobs.medline.com/" TargetMode="External" Id="rId159"/><Relationship Type="http://schemas.openxmlformats.org/officeDocument/2006/relationships/hyperlink" Target="https://careers.appliedmaterials.com/" TargetMode="External" Id="rId160"/><Relationship Type="http://schemas.openxmlformats.org/officeDocument/2006/relationships/hyperlink" Target="https://www.thehartford.com/careers" TargetMode="External" Id="rId161"/><Relationship Type="http://schemas.openxmlformats.org/officeDocument/2006/relationships/hyperlink" Target="https://careers.carmax.com/" TargetMode="External" Id="rId162"/><Relationship Type="http://schemas.openxmlformats.org/officeDocument/2006/relationships/hyperlink" Target="https://careers.southwestair.com/" TargetMode="External" Id="rId163"/><Relationship Type="http://schemas.openxmlformats.org/officeDocument/2006/relationships/hyperlink" Target="https://careers.bakerhughes.com/" TargetMode="External" Id="rId164"/><Relationship Type="http://schemas.openxmlformats.org/officeDocument/2006/relationships/hyperlink" Target="https://www.schwabjobs.com/" TargetMode="External" Id="rId165"/><Relationship Type="http://schemas.openxmlformats.org/officeDocument/2006/relationships/hyperlink" Target="https://careers.autonation.com/" TargetMode="External" Id="rId166"/><Relationship Type="http://schemas.openxmlformats.org/officeDocument/2006/relationships/hyperlink" Target="https://www.nexteraenergy.com/careers.html" TargetMode="External" Id="rId167"/><Relationship Type="http://schemas.openxmlformats.org/officeDocument/2006/relationships/hyperlink" Target="https://careers.marshmclennan.com/" TargetMode="External" Id="rId168"/><Relationship Type="http://schemas.openxmlformats.org/officeDocument/2006/relationships/hyperlink" Target="https://careers.booking.com/" TargetMode="External" Id="rId169"/><Relationship Type="http://schemas.openxmlformats.org/officeDocument/2006/relationships/hyperlink" Target="https://careers.mcdonalds.com/" TargetMode="External" Id="rId170"/><Relationship Type="http://schemas.openxmlformats.org/officeDocument/2006/relationships/hyperlink" Target="https://careers.hfsinclair.com/" TargetMode="External" Id="rId171"/><Relationship Type="http://schemas.openxmlformats.org/officeDocument/2006/relationships/hyperlink" Target="https://www.aig.com/careers" TargetMode="External" Id="rId172"/><Relationship Type="http://schemas.openxmlformats.org/officeDocument/2006/relationships/hyperlink" Target="https://www.oxy.com/careers/" TargetMode="External" Id="rId173"/><Relationship Type="http://schemas.openxmlformats.org/officeDocument/2006/relationships/hyperlink" Target="https://careers.marriott.com/" TargetMode="External" Id="rId174"/><Relationship Type="http://schemas.openxmlformats.org/officeDocument/2006/relationships/hyperlink" Target="https://www.jll.com/en-us/careers" TargetMode="External" Id="rId175"/><Relationship Type="http://schemas.openxmlformats.org/officeDocument/2006/relationships/hyperlink" Target="https://www.internationalpaper.com/careers" TargetMode="External" Id="rId176"/><Relationship Type="http://schemas.openxmlformats.org/officeDocument/2006/relationships/hyperlink" Target="https://jobs.fcx.com/" TargetMode="External" Id="rId177"/><Relationship Type="http://schemas.openxmlformats.org/officeDocument/2006/relationships/hyperlink" Target="https://jobs.constellationenergy.com/" TargetMode="External" Id="rId178"/><Relationship Type="http://schemas.openxmlformats.org/officeDocument/2006/relationships/hyperlink" Target="https://careers.wm.com/" TargetMode="External" Id="rId179"/><Relationship Type="http://schemas.openxmlformats.org/officeDocument/2006/relationships/hyperlink" Target="https://www.livenationentertainment.com/careers/" TargetMode="External" Id="rId180"/><Relationship Type="http://schemas.openxmlformats.org/officeDocument/2006/relationships/hyperlink" Target="https://careers.stryker.com/" TargetMode="External" Id="rId181"/><Relationship Type="http://schemas.openxmlformats.org/officeDocument/2006/relationships/hyperlink" Target="https://www.dollartreeinfo.com/careers" TargetMode="External" Id="rId182"/><Relationship Type="http://schemas.openxmlformats.org/officeDocument/2006/relationships/hyperlink" Target="https://www.3m.com/3M/en_US/careers-us/" TargetMode="External" Id="rId183"/><Relationship Type="http://schemas.openxmlformats.org/officeDocument/2006/relationships/hyperlink" Target="https://careers.kraftheinz.com/" TargetMode="External" Id="rId184"/><Relationship Type="http://schemas.openxmlformats.org/officeDocument/2006/relationships/hyperlink" Target="https://www.pge.com/en/about/careers.html" TargetMode="External" Id="rId185"/><Relationship Type="http://schemas.openxmlformats.org/officeDocument/2006/relationships/hyperlink" Target="https://jobs.danaher.com/" TargetMode="External" Id="rId186"/><Relationship Type="http://schemas.openxmlformats.org/officeDocument/2006/relationships/hyperlink" Target="https://up.jobs/" TargetMode="External" Id="rId187"/><Relationship Type="http://schemas.openxmlformats.org/officeDocument/2006/relationships/hyperlink" Target="https://jobs.genpt.com/" TargetMode="External" Id="rId188"/><Relationship Type="http://schemas.openxmlformats.org/officeDocument/2006/relationships/hyperlink" Target="https://jobs.exeloncorp.com/" TargetMode="External" Id="rId189"/><Relationship Type="http://schemas.openxmlformats.org/officeDocument/2006/relationships/hyperlink" Target="https://careers.blackrock.com/" TargetMode="External" Id="rId190"/><Relationship Type="http://schemas.openxmlformats.org/officeDocument/2006/relationships/hyperlink" Target="https://block.xyz/careers/jobs" TargetMode="External" Id="rId191"/><Relationship Type="http://schemas.openxmlformats.org/officeDocument/2006/relationships/hyperlink" Target="https://careers.adobe.com/us/en" TargetMode="External" Id="rId192"/><Relationship Type="http://schemas.openxmlformats.org/officeDocument/2006/relationships/hyperlink" Target="https://careers.rgare.com/" TargetMode="External" Id="rId193"/><Relationship Type="http://schemas.openxmlformats.org/officeDocument/2006/relationships/hyperlink" Target="https://careers.sherwin-williams.com/" TargetMode="External" Id="rId194"/><Relationship Type="http://schemas.openxmlformats.org/officeDocument/2006/relationships/hyperlink" Target="https://careers.wesco.com/" TargetMode="External" Id="rId195"/><Relationship Type="http://schemas.openxmlformats.org/officeDocument/2006/relationships/hyperlink" Target="https://www.lear.com/careers" TargetMode="External" Id="rId196"/><Relationship Type="http://schemas.openxmlformats.org/officeDocument/2006/relationships/hyperlink" Target="https://www.synchronycareers.com/" TargetMode="External" Id="rId197"/><Relationship Type="http://schemas.openxmlformats.org/officeDocument/2006/relationships/hyperlink" Target="https://www.amphenol.com/careers" TargetMode="External" Id="rId198"/><Relationship Type="http://schemas.openxmlformats.org/officeDocument/2006/relationships/hyperlink" Target="https://jobs.rossstores.com/" TargetMode="External" Id="rId199"/><Relationship Type="http://schemas.openxmlformats.org/officeDocument/2006/relationships/hyperlink" Target="https://jobs.newmont.com/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50" customWidth="1" min="4" max="4"/>
    <col width="21" customWidth="1" min="5" max="5"/>
    <col width="38" customWidth="1" min="6" max="6"/>
    <col width="13" customWidth="1" min="7" max="7"/>
    <col width="10" customWidth="1" min="8" max="8"/>
    <col width="20" customWidth="1" min="9" max="9"/>
    <col width="14" customWidth="1" min="10" max="10"/>
    <col width="38" customWidth="1" min="11" max="11"/>
  </cols>
  <sheetData>
    <row r="1">
      <c r="A1" s="1" t="inlineStr">
        <is>
          <t>US Analyst Openings at Fortune 200 Companies - Posted Within 72 Hours</t>
        </is>
      </c>
    </row>
    <row r="2">
      <c r="A2" s="2" t="inlineStr">
        <is>
          <t>Data pulled August 13, 2026 direct from employer applicant-tracking systems across six platforms. 51 openings at 28 companies (23 in the Fortune 1-100, 5 in 101-200). Every row is a live posting verified at pull time.</t>
        </is>
      </c>
    </row>
    <row r="3">
      <c r="A3" s="3" t="inlineStr">
        <is>
          <t>Pull date -&gt;</t>
        </is>
      </c>
      <c r="B3" s="4" t="n">
        <v>46247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Tier</t>
        </is>
      </c>
      <c r="C5" s="5" t="inlineStr">
        <is>
          <t>Company</t>
        </is>
      </c>
      <c r="D5" s="5" t="inlineStr">
        <is>
          <t>Job Title</t>
        </is>
      </c>
      <c r="E5" s="5" t="inlineStr">
        <is>
          <t>Role Type</t>
        </is>
      </c>
      <c r="F5" s="5" t="inlineStr">
        <is>
          <t>Location(s) - US</t>
        </is>
      </c>
      <c r="G5" s="5" t="inlineStr">
        <is>
          <t>Posted Date</t>
        </is>
      </c>
      <c r="H5" s="5" t="inlineStr">
        <is>
          <t>Days Old</t>
        </is>
      </c>
      <c r="I5" s="5" t="inlineStr">
        <is>
          <t>Source</t>
        </is>
      </c>
      <c r="J5" s="5" t="inlineStr">
        <is>
          <t>Req ID</t>
        </is>
      </c>
      <c r="K5" s="5" t="inlineStr">
        <is>
          <t>Apply Link</t>
        </is>
      </c>
    </row>
    <row r="6">
      <c r="A6" s="6" t="n">
        <v>12</v>
      </c>
      <c r="B6" s="7" t="inlineStr">
        <is>
          <t>Fortune 1-100</t>
        </is>
      </c>
      <c r="C6" s="7" t="inlineStr">
        <is>
          <t>JPMorgan Chase</t>
        </is>
      </c>
      <c r="D6" s="8" t="inlineStr">
        <is>
          <t>Change Management Business Analyst</t>
        </is>
      </c>
      <c r="E6" s="7" t="inlineStr">
        <is>
          <t>Business Analyst</t>
        </is>
      </c>
      <c r="F6" s="8" t="inlineStr">
        <is>
          <t>TX, United States; Tempe, AZ, United States; Columbus, OH, United States</t>
        </is>
      </c>
      <c r="G6" s="9" t="n">
        <v>46247</v>
      </c>
      <c r="H6" s="10">
        <f>$B$3-G6</f>
        <v/>
      </c>
      <c r="I6" s="7" t="inlineStr">
        <is>
          <t>Oracle Cloud</t>
        </is>
      </c>
      <c r="J6" s="7" t="inlineStr">
        <is>
          <t>210776093</t>
        </is>
      </c>
      <c r="K6" s="11" t="inlineStr">
        <is>
          <t>Open posting</t>
        </is>
      </c>
    </row>
    <row r="7">
      <c r="A7" s="12" t="n">
        <v>15</v>
      </c>
      <c r="B7" s="13" t="inlineStr">
        <is>
          <t>Fortune 1-100</t>
        </is>
      </c>
      <c r="C7" s="13" t="inlineStr">
        <is>
          <t>Cardinal Health</t>
        </is>
      </c>
      <c r="D7" s="14" t="inlineStr">
        <is>
          <t>Business Analyst</t>
        </is>
      </c>
      <c r="E7" s="13" t="inlineStr">
        <is>
          <t>Business Analyst</t>
        </is>
      </c>
      <c r="F7" s="14" t="inlineStr">
        <is>
          <t>US-Nationwide-FIELD</t>
        </is>
      </c>
      <c r="G7" s="15" t="n">
        <v>46247</v>
      </c>
      <c r="H7" s="16">
        <f>$B$3-G7</f>
        <v/>
      </c>
      <c r="I7" s="13" t="inlineStr">
        <is>
          <t>Workday</t>
        </is>
      </c>
      <c r="J7" s="13" t="inlineStr">
        <is>
          <t>20185208</t>
        </is>
      </c>
      <c r="K7" s="17" t="inlineStr">
        <is>
          <t>Open posting</t>
        </is>
      </c>
    </row>
    <row r="8">
      <c r="A8" s="6" t="n">
        <v>18</v>
      </c>
      <c r="B8" s="7" t="inlineStr">
        <is>
          <t>Fortune 1-100</t>
        </is>
      </c>
      <c r="C8" s="7" t="inlineStr">
        <is>
          <t>Elevance Health</t>
        </is>
      </c>
      <c r="D8" s="8" t="inlineStr">
        <is>
          <t>Business Analyst III</t>
        </is>
      </c>
      <c r="E8" s="7" t="inlineStr">
        <is>
          <t>Business Analyst</t>
        </is>
      </c>
      <c r="F8" s="8" t="inlineStr">
        <is>
          <t>GA-ATLANTA, 740 W PEACHTREE ST NW</t>
        </is>
      </c>
      <c r="G8" s="9" t="n">
        <v>46247</v>
      </c>
      <c r="H8" s="10">
        <f>$B$3-G8</f>
        <v/>
      </c>
      <c r="I8" s="7" t="inlineStr">
        <is>
          <t>Workday</t>
        </is>
      </c>
      <c r="J8" s="7" t="inlineStr">
        <is>
          <t>JR202257</t>
        </is>
      </c>
      <c r="K8" s="11" t="inlineStr">
        <is>
          <t>Open posting</t>
        </is>
      </c>
    </row>
    <row r="9">
      <c r="A9" s="12" t="n">
        <v>18</v>
      </c>
      <c r="B9" s="13" t="inlineStr">
        <is>
          <t>Fortune 1-100</t>
        </is>
      </c>
      <c r="C9" s="13" t="inlineStr">
        <is>
          <t>Elevance Health</t>
        </is>
      </c>
      <c r="D9" s="14" t="inlineStr">
        <is>
          <t>Business Analyst II</t>
        </is>
      </c>
      <c r="E9" s="13" t="inlineStr">
        <is>
          <t>Business Analyst</t>
        </is>
      </c>
      <c r="F9" s="14" t="inlineStr">
        <is>
          <t>VA-NORFOLK, 5800 NORTHAMPTON BLVD; GA-ATLANTA, 740 W PEACHTREE ST NW; FL-TAMPA, 5411 SKYCENTER DR, STE 700 &amp; 800; FL-MIAMI, 11430 NW 20TH ST, STE 200 &amp; 300</t>
        </is>
      </c>
      <c r="G9" s="15" t="n">
        <v>46247</v>
      </c>
      <c r="H9" s="16">
        <f>$B$3-G9</f>
        <v/>
      </c>
      <c r="I9" s="13" t="inlineStr">
        <is>
          <t>Workday</t>
        </is>
      </c>
      <c r="J9" s="13" t="inlineStr">
        <is>
          <t>JR201304</t>
        </is>
      </c>
      <c r="K9" s="17" t="inlineStr">
        <is>
          <t>Open posting</t>
        </is>
      </c>
    </row>
    <row r="10">
      <c r="A10" s="6" t="n">
        <v>24</v>
      </c>
      <c r="B10" s="7" t="inlineStr">
        <is>
          <t>Fortune 1-100</t>
        </is>
      </c>
      <c r="C10" s="7" t="inlineStr">
        <is>
          <t>Citigroup</t>
        </is>
      </c>
      <c r="D10" s="8" t="inlineStr">
        <is>
          <t>Lead IT Business Analyst</t>
        </is>
      </c>
      <c r="E10" s="7" t="inlineStr">
        <is>
          <t>Senior Business Analyst</t>
        </is>
      </c>
      <c r="F10" s="8" t="inlineStr">
        <is>
          <t>Jacksonville Florida United States</t>
        </is>
      </c>
      <c r="G10" s="9" t="n">
        <v>46247</v>
      </c>
      <c r="H10" s="10">
        <f>$B$3-G10</f>
        <v/>
      </c>
      <c r="I10" s="7" t="inlineStr">
        <is>
          <t>Workday</t>
        </is>
      </c>
      <c r="J10" s="7" t="inlineStr">
        <is>
          <t>26985716</t>
        </is>
      </c>
      <c r="K10" s="11" t="inlineStr">
        <is>
          <t>Open posting</t>
        </is>
      </c>
    </row>
    <row r="11">
      <c r="A11" s="12" t="n">
        <v>34</v>
      </c>
      <c r="B11" s="13" t="inlineStr">
        <is>
          <t>Fortune 1-100</t>
        </is>
      </c>
      <c r="C11" s="13" t="inlineStr">
        <is>
          <t>Humana</t>
        </is>
      </c>
      <c r="D11" s="14" t="inlineStr">
        <is>
          <t>Lead, Audience Data Analyst</t>
        </is>
      </c>
      <c r="E11" s="13" t="inlineStr">
        <is>
          <t>Senior Data Analyst</t>
        </is>
      </c>
      <c r="F11" s="14" t="inlineStr">
        <is>
          <t>Remote Nationwide</t>
        </is>
      </c>
      <c r="G11" s="15" t="n">
        <v>46247</v>
      </c>
      <c r="H11" s="16">
        <f>$B$3-G11</f>
        <v/>
      </c>
      <c r="I11" s="13" t="inlineStr">
        <is>
          <t>Workday</t>
        </is>
      </c>
      <c r="J11" s="13" t="inlineStr">
        <is>
          <t>R-425449</t>
        </is>
      </c>
      <c r="K11" s="17" t="inlineStr">
        <is>
          <t>Open posting</t>
        </is>
      </c>
    </row>
    <row r="12">
      <c r="A12" s="6" t="n">
        <v>49</v>
      </c>
      <c r="B12" s="7" t="inlineStr">
        <is>
          <t>Fortune 1-100</t>
        </is>
      </c>
      <c r="C12" s="7" t="inlineStr">
        <is>
          <t>RTX</t>
        </is>
      </c>
      <c r="D12" s="8" t="inlineStr">
        <is>
          <t>Data Analyst II (Hybrid - Aguadilla, PR)</t>
        </is>
      </c>
      <c r="E12" s="7" t="inlineStr">
        <is>
          <t>Data Analyst</t>
        </is>
      </c>
      <c r="F12" s="8" t="inlineStr">
        <is>
          <t>US-PR-AGUADILLA-110 ~ Rd 110 N Km 28.8 ~ RD110</t>
        </is>
      </c>
      <c r="G12" s="9" t="n">
        <v>46247</v>
      </c>
      <c r="H12" s="10">
        <f>$B$3-G12</f>
        <v/>
      </c>
      <c r="I12" s="7" t="inlineStr">
        <is>
          <t>Workday</t>
        </is>
      </c>
      <c r="J12" s="7" t="inlineStr">
        <is>
          <t>01841221</t>
        </is>
      </c>
      <c r="K12" s="11" t="inlineStr">
        <is>
          <t>Open posting</t>
        </is>
      </c>
    </row>
    <row r="13">
      <c r="A13" s="12" t="n">
        <v>57</v>
      </c>
      <c r="B13" s="13" t="inlineStr">
        <is>
          <t>Fortune 1-100</t>
        </is>
      </c>
      <c r="C13" s="13" t="inlineStr">
        <is>
          <t>Albertsons</t>
        </is>
      </c>
      <c r="D13" s="14" t="inlineStr">
        <is>
          <t>Lead Financial Business Analyst</t>
        </is>
      </c>
      <c r="E13" s="13" t="inlineStr">
        <is>
          <t>Senior Business Analyst</t>
        </is>
      </c>
      <c r="F13" s="14" t="inlineStr">
        <is>
          <t>Pleasanton, CA, United States</t>
        </is>
      </c>
      <c r="G13" s="15" t="n">
        <v>46247</v>
      </c>
      <c r="H13" s="16">
        <f>$B$3-G13</f>
        <v/>
      </c>
      <c r="I13" s="13" t="inlineStr">
        <is>
          <t>Oracle Cloud</t>
        </is>
      </c>
      <c r="J13" s="13" t="inlineStr">
        <is>
          <t>752239</t>
        </is>
      </c>
      <c r="K13" s="17" t="inlineStr">
        <is>
          <t>Open posting</t>
        </is>
      </c>
    </row>
    <row r="14">
      <c r="A14" s="6" t="n">
        <v>82</v>
      </c>
      <c r="B14" s="7" t="inlineStr">
        <is>
          <t>Fortune 1-100</t>
        </is>
      </c>
      <c r="C14" s="7" t="inlineStr">
        <is>
          <t>Oracle</t>
        </is>
      </c>
      <c r="D14" s="8" t="inlineStr">
        <is>
          <t>Oracle Life Sciences-Data Analyst- Oncology</t>
        </is>
      </c>
      <c r="E14" s="7" t="inlineStr">
        <is>
          <t>Data Analyst</t>
        </is>
      </c>
      <c r="F14" s="8" t="inlineStr">
        <is>
          <t>United States</t>
        </is>
      </c>
      <c r="G14" s="9" t="n">
        <v>46247</v>
      </c>
      <c r="H14" s="10">
        <f>$B$3-G14</f>
        <v/>
      </c>
      <c r="I14" s="7" t="inlineStr">
        <is>
          <t>Oracle Cloud</t>
        </is>
      </c>
      <c r="J14" s="7" t="inlineStr">
        <is>
          <t>340694</t>
        </is>
      </c>
      <c r="K14" s="11" t="inlineStr">
        <is>
          <t>Open posting</t>
        </is>
      </c>
    </row>
    <row r="15">
      <c r="A15" s="12" t="n">
        <v>88</v>
      </c>
      <c r="B15" s="13" t="inlineStr">
        <is>
          <t>Fortune 1-100</t>
        </is>
      </c>
      <c r="C15" s="13" t="inlineStr">
        <is>
          <t>Intel</t>
        </is>
      </c>
      <c r="D15" s="14" t="inlineStr">
        <is>
          <t>Data Analyst, Enterprise Data Governance Team</t>
        </is>
      </c>
      <c r="E15" s="13" t="inlineStr">
        <is>
          <t>Data Analyst</t>
        </is>
      </c>
      <c r="F15" s="14" t="inlineStr">
        <is>
          <t>US, Arizona, Phoenix; US, Oregon, Hillsboro; US, California, Folsom; US, California, Santa Clara</t>
        </is>
      </c>
      <c r="G15" s="15" t="n">
        <v>46247</v>
      </c>
      <c r="H15" s="16">
        <f>$B$3-G15</f>
        <v/>
      </c>
      <c r="I15" s="13" t="inlineStr">
        <is>
          <t>Workday</t>
        </is>
      </c>
      <c r="J15" s="13" t="inlineStr">
        <is>
          <t>JR0286387</t>
        </is>
      </c>
      <c r="K15" s="17" t="inlineStr">
        <is>
          <t>Open posting</t>
        </is>
      </c>
    </row>
    <row r="16">
      <c r="A16" s="6" t="n">
        <v>91</v>
      </c>
      <c r="B16" s="7" t="inlineStr">
        <is>
          <t>Fortune 1-100</t>
        </is>
      </c>
      <c r="C16" s="7" t="inlineStr">
        <is>
          <t>General Dynamics</t>
        </is>
      </c>
      <c r="D16" s="8" t="inlineStr">
        <is>
          <t>Statistician/Data Analyst</t>
        </is>
      </c>
      <c r="E16" s="7" t="inlineStr">
        <is>
          <t>Data Analyst</t>
        </is>
      </c>
      <c r="F16" s="8" t="inlineStr">
        <is>
          <t>USA DC Washington</t>
        </is>
      </c>
      <c r="G16" s="9" t="n">
        <v>46247</v>
      </c>
      <c r="H16" s="10">
        <f>$B$3-G16</f>
        <v/>
      </c>
      <c r="I16" s="7" t="inlineStr">
        <is>
          <t>Workday</t>
        </is>
      </c>
      <c r="J16" s="7" t="inlineStr">
        <is>
          <t>RQ226086</t>
        </is>
      </c>
      <c r="K16" s="11" t="inlineStr">
        <is>
          <t>Open posting</t>
        </is>
      </c>
    </row>
    <row r="17">
      <c r="A17" s="12" t="n">
        <v>91</v>
      </c>
      <c r="B17" s="13" t="inlineStr">
        <is>
          <t>Fortune 1-100</t>
        </is>
      </c>
      <c r="C17" s="13" t="inlineStr">
        <is>
          <t>General Dynamics</t>
        </is>
      </c>
      <c r="D17" s="14" t="inlineStr">
        <is>
          <t>SNOW Data Analyst -  TS/SCI w/Poly</t>
        </is>
      </c>
      <c r="E17" s="13" t="inlineStr">
        <is>
          <t>Data Analyst</t>
        </is>
      </c>
      <c r="F17" s="14" t="inlineStr">
        <is>
          <t>USA MD Annapolis Junction</t>
        </is>
      </c>
      <c r="G17" s="15" t="n">
        <v>46247</v>
      </c>
      <c r="H17" s="16">
        <f>$B$3-G17</f>
        <v/>
      </c>
      <c r="I17" s="13" t="inlineStr">
        <is>
          <t>Workday</t>
        </is>
      </c>
      <c r="J17" s="13" t="inlineStr">
        <is>
          <t>RQ226401</t>
        </is>
      </c>
      <c r="K17" s="17" t="inlineStr">
        <is>
          <t>Open posting</t>
        </is>
      </c>
    </row>
    <row r="18">
      <c r="A18" s="6" t="n">
        <v>91</v>
      </c>
      <c r="B18" s="7" t="inlineStr">
        <is>
          <t>Fortune 1-100</t>
        </is>
      </c>
      <c r="C18" s="7" t="inlineStr">
        <is>
          <t>General Dynamics</t>
        </is>
      </c>
      <c r="D18" s="8" t="inlineStr">
        <is>
          <t>Senior Strategic Business Analyst - Cloud Expertise</t>
        </is>
      </c>
      <c r="E18" s="7" t="inlineStr">
        <is>
          <t>Senior Business Analyst</t>
        </is>
      </c>
      <c r="F18" s="8" t="inlineStr">
        <is>
          <t>Any Location / Remote</t>
        </is>
      </c>
      <c r="G18" s="9" t="n">
        <v>46247</v>
      </c>
      <c r="H18" s="10">
        <f>$B$3-G18</f>
        <v/>
      </c>
      <c r="I18" s="7" t="inlineStr">
        <is>
          <t>Workday</t>
        </is>
      </c>
      <c r="J18" s="7" t="inlineStr">
        <is>
          <t>RQ226088</t>
        </is>
      </c>
      <c r="K18" s="11" t="inlineStr">
        <is>
          <t>Open posting</t>
        </is>
      </c>
    </row>
    <row r="19">
      <c r="A19" s="12" t="n">
        <v>94</v>
      </c>
      <c r="B19" s="13" t="inlineStr">
        <is>
          <t>Fortune 1-100</t>
        </is>
      </c>
      <c r="C19" s="13" t="inlineStr">
        <is>
          <t>TIAA</t>
        </is>
      </c>
      <c r="D19" s="14" t="inlineStr">
        <is>
          <t>Lead Data Analyst</t>
        </is>
      </c>
      <c r="E19" s="13" t="inlineStr">
        <is>
          <t>Senior Data Analyst</t>
        </is>
      </c>
      <c r="F19" s="14" t="inlineStr">
        <is>
          <t>Dallas, TX, USA; Charlotte, NC, USA</t>
        </is>
      </c>
      <c r="G19" s="15" t="n">
        <v>46247</v>
      </c>
      <c r="H19" s="16">
        <f>$B$3-G19</f>
        <v/>
      </c>
      <c r="I19" s="13" t="inlineStr">
        <is>
          <t>Workday</t>
        </is>
      </c>
      <c r="J19" s="13" t="inlineStr">
        <is>
          <t>R260500020</t>
        </is>
      </c>
      <c r="K19" s="17" t="inlineStr">
        <is>
          <t>Open posting</t>
        </is>
      </c>
    </row>
    <row r="20">
      <c r="A20" s="6" t="n">
        <v>136</v>
      </c>
      <c r="B20" s="7" t="inlineStr">
        <is>
          <t>Fortune 101-200</t>
        </is>
      </c>
      <c r="C20" s="7" t="inlineStr">
        <is>
          <t>PNC Financial Services Group</t>
        </is>
      </c>
      <c r="D20" s="8" t="inlineStr">
        <is>
          <t>Senior Business Analyst - Financial Systems</t>
        </is>
      </c>
      <c r="E20" s="7" t="inlineStr">
        <is>
          <t>Senior Business Analyst</t>
        </is>
      </c>
      <c r="F20" s="8" t="inlineStr">
        <is>
          <t>PA - Pittsburgh (15222)</t>
        </is>
      </c>
      <c r="G20" s="9" t="n">
        <v>46247</v>
      </c>
      <c r="H20" s="10">
        <f>$B$3-G20</f>
        <v/>
      </c>
      <c r="I20" s="7" t="inlineStr">
        <is>
          <t>Workday</t>
        </is>
      </c>
      <c r="J20" s="7" t="inlineStr">
        <is>
          <t>R231436</t>
        </is>
      </c>
      <c r="K20" s="11" t="inlineStr">
        <is>
          <t>Open posting</t>
        </is>
      </c>
    </row>
    <row r="21">
      <c r="A21" s="12" t="n">
        <v>179</v>
      </c>
      <c r="B21" s="13" t="inlineStr">
        <is>
          <t>Fortune 101-200</t>
        </is>
      </c>
      <c r="C21" s="13" t="inlineStr">
        <is>
          <t>Waste Management</t>
        </is>
      </c>
      <c r="D21" s="14" t="inlineStr">
        <is>
          <t>Business Analyst III</t>
        </is>
      </c>
      <c r="E21" s="13" t="inlineStr">
        <is>
          <t>Business Analyst</t>
        </is>
      </c>
      <c r="F21" s="14" t="inlineStr">
        <is>
          <t>Windsor, CT, United States</t>
        </is>
      </c>
      <c r="G21" s="15" t="n">
        <v>46247</v>
      </c>
      <c r="H21" s="16">
        <f>$B$3-G21</f>
        <v/>
      </c>
      <c r="I21" s="13" t="inlineStr">
        <is>
          <t>Oracle Cloud</t>
        </is>
      </c>
      <c r="J21" s="13" t="inlineStr">
        <is>
          <t>2351772</t>
        </is>
      </c>
      <c r="K21" s="17" t="inlineStr">
        <is>
          <t>Open posting</t>
        </is>
      </c>
    </row>
    <row r="22">
      <c r="A22" s="6" t="n">
        <v>12</v>
      </c>
      <c r="B22" s="7" t="inlineStr">
        <is>
          <t>Fortune 1-100</t>
        </is>
      </c>
      <c r="C22" s="7" t="inlineStr">
        <is>
          <t>JPMorgan Chase</t>
        </is>
      </c>
      <c r="D22" s="8" t="inlineStr">
        <is>
          <t>AWM:Product Owner / Business Analyst</t>
        </is>
      </c>
      <c r="E22" s="7" t="inlineStr">
        <is>
          <t>Business Analyst</t>
        </is>
      </c>
      <c r="F22" s="8" t="inlineStr">
        <is>
          <t>Jersey City, NJ, United States</t>
        </is>
      </c>
      <c r="G22" s="9" t="n">
        <v>46246</v>
      </c>
      <c r="H22" s="10">
        <f>$B$3-G22</f>
        <v/>
      </c>
      <c r="I22" s="7" t="inlineStr">
        <is>
          <t>Oracle Cloud</t>
        </is>
      </c>
      <c r="J22" s="7" t="inlineStr">
        <is>
          <t>210779878</t>
        </is>
      </c>
      <c r="K22" s="11" t="inlineStr">
        <is>
          <t>Open posting</t>
        </is>
      </c>
    </row>
    <row r="23">
      <c r="A23" s="12" t="n">
        <v>15</v>
      </c>
      <c r="B23" s="13" t="inlineStr">
        <is>
          <t>Fortune 1-100</t>
        </is>
      </c>
      <c r="C23" s="13" t="inlineStr">
        <is>
          <t>Cardinal Health</t>
        </is>
      </c>
      <c r="D23" s="14" t="inlineStr">
        <is>
          <t>Senior Data Analyst</t>
        </is>
      </c>
      <c r="E23" s="13" t="inlineStr">
        <is>
          <t>Senior Data Analyst</t>
        </is>
      </c>
      <c r="F23" s="14" t="inlineStr">
        <is>
          <t>US-Nationwide-FIELD</t>
        </is>
      </c>
      <c r="G23" s="15" t="n">
        <v>46246</v>
      </c>
      <c r="H23" s="16">
        <f>$B$3-G23</f>
        <v/>
      </c>
      <c r="I23" s="13" t="inlineStr">
        <is>
          <t>Workday</t>
        </is>
      </c>
      <c r="J23" s="13" t="inlineStr">
        <is>
          <t>20185427</t>
        </is>
      </c>
      <c r="K23" s="17" t="inlineStr">
        <is>
          <t>Open posting</t>
        </is>
      </c>
    </row>
    <row r="24">
      <c r="A24" s="6" t="n">
        <v>15</v>
      </c>
      <c r="B24" s="7" t="inlineStr">
        <is>
          <t>Fortune 1-100</t>
        </is>
      </c>
      <c r="C24" s="7" t="inlineStr">
        <is>
          <t>Cardinal Health</t>
        </is>
      </c>
      <c r="D24" s="8" t="inlineStr">
        <is>
          <t>Business Analyst</t>
        </is>
      </c>
      <c r="E24" s="7" t="inlineStr">
        <is>
          <t>Business Analyst</t>
        </is>
      </c>
      <c r="F24" s="8" t="inlineStr">
        <is>
          <t>US-Nationwide-FIELD</t>
        </is>
      </c>
      <c r="G24" s="9" t="n">
        <v>46246</v>
      </c>
      <c r="H24" s="10">
        <f>$B$3-G24</f>
        <v/>
      </c>
      <c r="I24" s="7" t="inlineStr">
        <is>
          <t>Workday</t>
        </is>
      </c>
      <c r="J24" s="7" t="inlineStr">
        <is>
          <t>20185404</t>
        </is>
      </c>
      <c r="K24" s="11" t="inlineStr">
        <is>
          <t>Open posting</t>
        </is>
      </c>
    </row>
    <row r="25">
      <c r="A25" s="12" t="n">
        <v>15</v>
      </c>
      <c r="B25" s="13" t="inlineStr">
        <is>
          <t>Fortune 1-100</t>
        </is>
      </c>
      <c r="C25" s="13" t="inlineStr">
        <is>
          <t>Cardinal Health</t>
        </is>
      </c>
      <c r="D25" s="14" t="inlineStr">
        <is>
          <t>Consultant, IT Product/Implementation Business Analyst</t>
        </is>
      </c>
      <c r="E25" s="13" t="inlineStr">
        <is>
          <t>Business Analyst</t>
        </is>
      </c>
      <c r="F25" s="14" t="inlineStr">
        <is>
          <t>US-Nationwide-FIELD</t>
        </is>
      </c>
      <c r="G25" s="15" t="n">
        <v>46246</v>
      </c>
      <c r="H25" s="16">
        <f>$B$3-G25</f>
        <v/>
      </c>
      <c r="I25" s="13" t="inlineStr">
        <is>
          <t>Workday</t>
        </is>
      </c>
      <c r="J25" s="13" t="inlineStr">
        <is>
          <t>20185405</t>
        </is>
      </c>
      <c r="K25" s="17" t="inlineStr">
        <is>
          <t>Open posting</t>
        </is>
      </c>
    </row>
    <row r="26">
      <c r="A26" s="6" t="n">
        <v>19</v>
      </c>
      <c r="B26" s="7" t="inlineStr">
        <is>
          <t>Fortune 1-100</t>
        </is>
      </c>
      <c r="C26" s="7" t="inlineStr">
        <is>
          <t>Centene</t>
        </is>
      </c>
      <c r="D26" s="8" t="inlineStr">
        <is>
          <t>Data Analyst III (Healthcare Analytics)</t>
        </is>
      </c>
      <c r="E26" s="7" t="inlineStr">
        <is>
          <t>Data Analyst</t>
        </is>
      </c>
      <c r="F26" s="8" t="inlineStr">
        <is>
          <t>Remote-FL</t>
        </is>
      </c>
      <c r="G26" s="9" t="n">
        <v>46246</v>
      </c>
      <c r="H26" s="10">
        <f>$B$3-G26</f>
        <v/>
      </c>
      <c r="I26" s="7" t="inlineStr">
        <is>
          <t>Workday</t>
        </is>
      </c>
      <c r="J26" s="7" t="inlineStr">
        <is>
          <t>1648823</t>
        </is>
      </c>
      <c r="K26" s="11" t="inlineStr">
        <is>
          <t>Open posting</t>
        </is>
      </c>
    </row>
    <row r="27">
      <c r="A27" s="12" t="n">
        <v>23</v>
      </c>
      <c r="B27" s="13" t="inlineStr">
        <is>
          <t>Fortune 1-100</t>
        </is>
      </c>
      <c r="C27" s="13" t="inlineStr">
        <is>
          <t>General Motors</t>
        </is>
      </c>
      <c r="D27" s="14" t="inlineStr">
        <is>
          <t>Safety Field Investigations - Data Analyst</t>
        </is>
      </c>
      <c r="E27" s="13" t="inlineStr">
        <is>
          <t>Data Analyst</t>
        </is>
      </c>
      <c r="F27" s="14" t="inlineStr">
        <is>
          <t>Warren, Michigan, United States of America</t>
        </is>
      </c>
      <c r="G27" s="15" t="n">
        <v>46246</v>
      </c>
      <c r="H27" s="16">
        <f>$B$3-G27</f>
        <v/>
      </c>
      <c r="I27" s="13" t="inlineStr">
        <is>
          <t>Workday</t>
        </is>
      </c>
      <c r="J27" s="13" t="inlineStr">
        <is>
          <t>JR-202615306</t>
        </is>
      </c>
      <c r="K27" s="17" t="inlineStr">
        <is>
          <t>Open posting</t>
        </is>
      </c>
    </row>
    <row r="28">
      <c r="A28" s="6" t="n">
        <v>48</v>
      </c>
      <c r="B28" s="7" t="inlineStr">
        <is>
          <t>Fortune 1-100</t>
        </is>
      </c>
      <c r="C28" s="7" t="inlineStr">
        <is>
          <t>UPS</t>
        </is>
      </c>
      <c r="D28" s="8" t="inlineStr">
        <is>
          <t>CRM Business Analyst</t>
        </is>
      </c>
      <c r="E28" s="7" t="inlineStr">
        <is>
          <t>Business Analyst</t>
        </is>
      </c>
      <c r="F28" s="8" t="inlineStr">
        <is>
          <t>US - UPS CORPORATE OFFICES (GACOR)</t>
        </is>
      </c>
      <c r="G28" s="9" t="n">
        <v>46246</v>
      </c>
      <c r="H28" s="10">
        <f>$B$3-G28</f>
        <v/>
      </c>
      <c r="I28" s="7" t="inlineStr">
        <is>
          <t>Workday</t>
        </is>
      </c>
      <c r="J28" s="7" t="inlineStr">
        <is>
          <t>R26027670</t>
        </is>
      </c>
      <c r="K28" s="11" t="inlineStr">
        <is>
          <t>Open posting</t>
        </is>
      </c>
    </row>
    <row r="29">
      <c r="A29" s="12" t="n">
        <v>63</v>
      </c>
      <c r="B29" s="13" t="inlineStr">
        <is>
          <t>Fortune 1-100</t>
        </is>
      </c>
      <c r="C29" s="13" t="inlineStr">
        <is>
          <t>Capital One Financial</t>
        </is>
      </c>
      <c r="D29" s="14" t="inlineStr">
        <is>
          <t>Business Analyst Intern - Summer 2027</t>
        </is>
      </c>
      <c r="E29" s="13" t="inlineStr">
        <is>
          <t>Business Analyst</t>
        </is>
      </c>
      <c r="F29" s="14" t="inlineStr">
        <is>
          <t>McLean, VA; Richmond, VA; Chicago, IL; New York, NY; Plano, TX</t>
        </is>
      </c>
      <c r="G29" s="15" t="n">
        <v>46246</v>
      </c>
      <c r="H29" s="16">
        <f>$B$3-G29</f>
        <v/>
      </c>
      <c r="I29" s="13" t="inlineStr">
        <is>
          <t>Workday</t>
        </is>
      </c>
      <c r="J29" s="13" t="inlineStr">
        <is>
          <t>R244322</t>
        </is>
      </c>
      <c r="K29" s="17" t="inlineStr">
        <is>
          <t>Open posting</t>
        </is>
      </c>
    </row>
    <row r="30">
      <c r="A30" s="6" t="n">
        <v>63</v>
      </c>
      <c r="B30" s="7" t="inlineStr">
        <is>
          <t>Fortune 1-100</t>
        </is>
      </c>
      <c r="C30" s="7" t="inlineStr">
        <is>
          <t>Capital One Financial</t>
        </is>
      </c>
      <c r="D30" s="8" t="inlineStr">
        <is>
          <t>Senior Business Analyst, Credit Loss Forecast</t>
        </is>
      </c>
      <c r="E30" s="7" t="inlineStr">
        <is>
          <t>Senior Business Analyst</t>
        </is>
      </c>
      <c r="F30" s="8" t="inlineStr">
        <is>
          <t>McLean, VA</t>
        </is>
      </c>
      <c r="G30" s="9" t="n">
        <v>46246</v>
      </c>
      <c r="H30" s="10">
        <f>$B$3-G30</f>
        <v/>
      </c>
      <c r="I30" s="7" t="inlineStr">
        <is>
          <t>Workday</t>
        </is>
      </c>
      <c r="J30" s="7" t="inlineStr">
        <is>
          <t>R243495</t>
        </is>
      </c>
      <c r="K30" s="11" t="inlineStr">
        <is>
          <t>Open posting</t>
        </is>
      </c>
    </row>
    <row r="31">
      <c r="A31" s="12" t="n">
        <v>63</v>
      </c>
      <c r="B31" s="13" t="inlineStr">
        <is>
          <t>Fortune 1-100</t>
        </is>
      </c>
      <c r="C31" s="13" t="inlineStr">
        <is>
          <t>Capital One Financial</t>
        </is>
      </c>
      <c r="D31" s="14" t="inlineStr">
        <is>
          <t>Senior Business Analyst, In-person Experience Strategy</t>
        </is>
      </c>
      <c r="E31" s="13" t="inlineStr">
        <is>
          <t>Senior Business Analyst</t>
        </is>
      </c>
      <c r="F31" s="14" t="inlineStr">
        <is>
          <t>McLean, VA; Richmond, VA</t>
        </is>
      </c>
      <c r="G31" s="15" t="n">
        <v>46246</v>
      </c>
      <c r="H31" s="16">
        <f>$B$3-G31</f>
        <v/>
      </c>
      <c r="I31" s="13" t="inlineStr">
        <is>
          <t>Workday</t>
        </is>
      </c>
      <c r="J31" s="13" t="inlineStr">
        <is>
          <t>R248140</t>
        </is>
      </c>
      <c r="K31" s="17" t="inlineStr">
        <is>
          <t>Open posting</t>
        </is>
      </c>
    </row>
    <row r="32">
      <c r="A32" s="6" t="n">
        <v>63</v>
      </c>
      <c r="B32" s="7" t="inlineStr">
        <is>
          <t>Fortune 1-100</t>
        </is>
      </c>
      <c r="C32" s="7" t="inlineStr">
        <is>
          <t>Capital One Financial</t>
        </is>
      </c>
      <c r="D32" s="8" t="inlineStr">
        <is>
          <t>Senior Business Analyst- PULSE - Global Payment Network</t>
        </is>
      </c>
      <c r="E32" s="7" t="inlineStr">
        <is>
          <t>Senior Business Analyst</t>
        </is>
      </c>
      <c r="F32" s="8" t="inlineStr">
        <is>
          <t>Houston, TX; McLean, VA; Riverwoods, IL</t>
        </is>
      </c>
      <c r="G32" s="9" t="n">
        <v>46246</v>
      </c>
      <c r="H32" s="10">
        <f>$B$3-G32</f>
        <v/>
      </c>
      <c r="I32" s="7" t="inlineStr">
        <is>
          <t>Workday</t>
        </is>
      </c>
      <c r="J32" s="7" t="inlineStr">
        <is>
          <t>R248918</t>
        </is>
      </c>
      <c r="K32" s="11" t="inlineStr">
        <is>
          <t>Open posting</t>
        </is>
      </c>
    </row>
    <row r="33">
      <c r="A33" s="12" t="n">
        <v>82</v>
      </c>
      <c r="B33" s="13" t="inlineStr">
        <is>
          <t>Fortune 1-100</t>
        </is>
      </c>
      <c r="C33" s="13" t="inlineStr">
        <is>
          <t>Oracle</t>
        </is>
      </c>
      <c r="D33" s="14" t="inlineStr">
        <is>
          <t>Principal HR Data Analyst</t>
        </is>
      </c>
      <c r="E33" s="13" t="inlineStr">
        <is>
          <t>Senior Data Analyst</t>
        </is>
      </c>
      <c r="F33" s="14" t="inlineStr">
        <is>
          <t>United States</t>
        </is>
      </c>
      <c r="G33" s="15" t="n">
        <v>46246</v>
      </c>
      <c r="H33" s="16">
        <f>$B$3-G33</f>
        <v/>
      </c>
      <c r="I33" s="13" t="inlineStr">
        <is>
          <t>Oracle Cloud</t>
        </is>
      </c>
      <c r="J33" s="13" t="inlineStr">
        <is>
          <t>342398</t>
        </is>
      </c>
      <c r="K33" s="17" t="inlineStr">
        <is>
          <t>Open posting</t>
        </is>
      </c>
    </row>
    <row r="34">
      <c r="A34" s="6" t="n">
        <v>83</v>
      </c>
      <c r="B34" s="7" t="inlineStr">
        <is>
          <t>Fortune 1-100</t>
        </is>
      </c>
      <c r="C34" s="7" t="inlineStr">
        <is>
          <t>Cisco Systems</t>
        </is>
      </c>
      <c r="D34" s="8" t="inlineStr">
        <is>
          <t>Business Analyst</t>
        </is>
      </c>
      <c r="E34" s="7" t="inlineStr">
        <is>
          <t>Business Analyst</t>
        </is>
      </c>
      <c r="F34" s="8" t="inlineStr">
        <is>
          <t>RTP, North Carolina, US; Alpharetta, Georgia, US; Atlanta, Georgia, US; Boca Raton, Florida, US; Cary, North Carolina, US; Coral Gables, Florida, US; Durham, North Carolina, US</t>
        </is>
      </c>
      <c r="G34" s="9" t="n">
        <v>46246</v>
      </c>
      <c r="H34" s="10">
        <f>$B$3-G34</f>
        <v/>
      </c>
      <c r="I34" s="7" t="inlineStr">
        <is>
          <t>Workday</t>
        </is>
      </c>
      <c r="J34" s="7" t="inlineStr">
        <is>
          <t>2013474</t>
        </is>
      </c>
      <c r="K34" s="11" t="inlineStr">
        <is>
          <t>Open posting</t>
        </is>
      </c>
    </row>
    <row r="35">
      <c r="A35" s="12" t="n">
        <v>107</v>
      </c>
      <c r="B35" s="13" t="inlineStr">
        <is>
          <t>Fortune 101-200</t>
        </is>
      </c>
      <c r="C35" s="13" t="inlineStr">
        <is>
          <t>Abbott Laboratories</t>
        </is>
      </c>
      <c r="D35" s="14" t="inlineStr">
        <is>
          <t>OpEx Data Analyst I</t>
        </is>
      </c>
      <c r="E35" s="13" t="inlineStr">
        <is>
          <t>Data Analyst</t>
        </is>
      </c>
      <c r="F35" s="14" t="inlineStr">
        <is>
          <t>United States - Minnesota - Plymouth</t>
        </is>
      </c>
      <c r="G35" s="15" t="n">
        <v>46246</v>
      </c>
      <c r="H35" s="16">
        <f>$B$3-G35</f>
        <v/>
      </c>
      <c r="I35" s="13" t="inlineStr">
        <is>
          <t>Workday</t>
        </is>
      </c>
      <c r="J35" s="13" t="inlineStr">
        <is>
          <t>31158893</t>
        </is>
      </c>
      <c r="K35" s="17" t="inlineStr">
        <is>
          <t>Open posting</t>
        </is>
      </c>
    </row>
    <row r="36">
      <c r="A36" s="6" t="n">
        <v>110</v>
      </c>
      <c r="B36" s="7" t="inlineStr">
        <is>
          <t>Fortune 101-200</t>
        </is>
      </c>
      <c r="C36" s="7" t="inlineStr">
        <is>
          <t>U.S. Bancorp</t>
        </is>
      </c>
      <c r="D36" s="8" t="inlineStr">
        <is>
          <t>Marketing Data Analyst</t>
        </is>
      </c>
      <c r="E36" s="7" t="inlineStr">
        <is>
          <t>Data Analyst</t>
        </is>
      </c>
      <c r="F36" s="8" t="inlineStr">
        <is>
          <t>Atlanta, GA</t>
        </is>
      </c>
      <c r="G36" s="9" t="n">
        <v>46246</v>
      </c>
      <c r="H36" s="10">
        <f>$B$3-G36</f>
        <v/>
      </c>
      <c r="I36" s="7" t="inlineStr">
        <is>
          <t>Workday</t>
        </is>
      </c>
      <c r="J36" s="7" t="inlineStr">
        <is>
          <t>2026-0024398</t>
        </is>
      </c>
      <c r="K36" s="11" t="inlineStr">
        <is>
          <t>Open posting</t>
        </is>
      </c>
    </row>
    <row r="37">
      <c r="A37" s="12" t="n">
        <v>1</v>
      </c>
      <c r="B37" s="13" t="inlineStr">
        <is>
          <t>Fortune 1-100</t>
        </is>
      </c>
      <c r="C37" s="13" t="inlineStr">
        <is>
          <t>Amazon</t>
        </is>
      </c>
      <c r="D37" s="14" t="inlineStr">
        <is>
          <t>Communications Business Analyst, Operations Internal Communications</t>
        </is>
      </c>
      <c r="E37" s="13" t="inlineStr">
        <is>
          <t>Business Analyst</t>
        </is>
      </c>
      <c r="F37" s="14" t="inlineStr">
        <is>
          <t>Seattle, Washington, USA</t>
        </is>
      </c>
      <c r="G37" s="15" t="n">
        <v>46245</v>
      </c>
      <c r="H37" s="16">
        <f>$B$3-G37</f>
        <v/>
      </c>
      <c r="I37" s="13" t="inlineStr">
        <is>
          <t>amazon.jobs</t>
        </is>
      </c>
      <c r="J37" s="13" t="inlineStr">
        <is>
          <t>10499284</t>
        </is>
      </c>
      <c r="K37" s="17" t="inlineStr">
        <is>
          <t>Open posting</t>
        </is>
      </c>
    </row>
    <row r="38">
      <c r="A38" s="6" t="n">
        <v>1</v>
      </c>
      <c r="B38" s="7" t="inlineStr">
        <is>
          <t>Fortune 1-100</t>
        </is>
      </c>
      <c r="C38" s="7" t="inlineStr">
        <is>
          <t>Amazon</t>
        </is>
      </c>
      <c r="D38" s="8" t="inlineStr">
        <is>
          <t>Business Analyst III - AMZ10666414</t>
        </is>
      </c>
      <c r="E38" s="7" t="inlineStr">
        <is>
          <t>Business Analyst</t>
        </is>
      </c>
      <c r="F38" s="8" t="inlineStr">
        <is>
          <t>San Diego, California, USA</t>
        </is>
      </c>
      <c r="G38" s="9" t="n">
        <v>46245</v>
      </c>
      <c r="H38" s="10">
        <f>$B$3-G38</f>
        <v/>
      </c>
      <c r="I38" s="7" t="inlineStr">
        <is>
          <t>amazon.jobs</t>
        </is>
      </c>
      <c r="J38" s="7" t="inlineStr">
        <is>
          <t>10498619</t>
        </is>
      </c>
      <c r="K38" s="11" t="inlineStr">
        <is>
          <t>Open posting</t>
        </is>
      </c>
    </row>
    <row r="39">
      <c r="A39" s="12" t="n">
        <v>1</v>
      </c>
      <c r="B39" s="13" t="inlineStr">
        <is>
          <t>Fortune 1-100</t>
        </is>
      </c>
      <c r="C39" s="13" t="inlineStr">
        <is>
          <t>Amazon</t>
        </is>
      </c>
      <c r="D39" s="14" t="inlineStr">
        <is>
          <t>Business Analyst, Fuse Billing Operations</t>
        </is>
      </c>
      <c r="E39" s="13" t="inlineStr">
        <is>
          <t>Business Analyst</t>
        </is>
      </c>
      <c r="F39" s="14" t="inlineStr">
        <is>
          <t>Seattle, Washington, USA</t>
        </is>
      </c>
      <c r="G39" s="15" t="n">
        <v>46245</v>
      </c>
      <c r="H39" s="16">
        <f>$B$3-G39</f>
        <v/>
      </c>
      <c r="I39" s="13" t="inlineStr">
        <is>
          <t>amazon.jobs</t>
        </is>
      </c>
      <c r="J39" s="13" t="inlineStr">
        <is>
          <t>10498893</t>
        </is>
      </c>
      <c r="K39" s="17" t="inlineStr">
        <is>
          <t>Open posting</t>
        </is>
      </c>
    </row>
    <row r="40">
      <c r="A40" s="6" t="n">
        <v>1</v>
      </c>
      <c r="B40" s="7" t="inlineStr">
        <is>
          <t>Fortune 1-100</t>
        </is>
      </c>
      <c r="C40" s="7" t="inlineStr">
        <is>
          <t>Amazon</t>
        </is>
      </c>
      <c r="D40" s="8" t="inlineStr">
        <is>
          <t>Senior Business Analyst, Seller External Relations</t>
        </is>
      </c>
      <c r="E40" s="7" t="inlineStr">
        <is>
          <t>Senior Business Analyst</t>
        </is>
      </c>
      <c r="F40" s="8" t="inlineStr">
        <is>
          <t>Seattle, Washington, USA</t>
        </is>
      </c>
      <c r="G40" s="9" t="n">
        <v>46245</v>
      </c>
      <c r="H40" s="10">
        <f>$B$3-G40</f>
        <v/>
      </c>
      <c r="I40" s="7" t="inlineStr">
        <is>
          <t>amazon.jobs</t>
        </is>
      </c>
      <c r="J40" s="7" t="inlineStr">
        <is>
          <t>10498849</t>
        </is>
      </c>
      <c r="K40" s="11" t="inlineStr">
        <is>
          <t>Open posting</t>
        </is>
      </c>
    </row>
    <row r="41">
      <c r="A41" s="12" t="n">
        <v>18</v>
      </c>
      <c r="B41" s="13" t="inlineStr">
        <is>
          <t>Fortune 1-100</t>
        </is>
      </c>
      <c r="C41" s="13" t="inlineStr">
        <is>
          <t>Elevance Health</t>
        </is>
      </c>
      <c r="D41" s="14" t="inlineStr">
        <is>
          <t>Business Analyst II</t>
        </is>
      </c>
      <c r="E41" s="13" t="inlineStr">
        <is>
          <t>Business Analyst</t>
        </is>
      </c>
      <c r="F41" s="14" t="inlineStr">
        <is>
          <t>GA-ATLANTA, 740 W PEACHTREE ST NW; VA-ASHBURN, 22001 LOUDOUN COUNTY PKWY, STE E1-2; TN-NASHVILLE, 22 CENTURY BLVD, STE 310; FL-TAMPA, 5411 SKYCENTER DR, STE 700 &amp; 800; FL-MIAMI, 11430 NW 20TH ST, STE 200 &amp; 300; CA-WALNUT CREEK, 2121 N CALIFORNIA BLVD, 7TH FL; NV-LAS VEGAS, 3634 S MARYLAND PKWY; TX-GRAND PRAIRIE, 2505 N HWY 360, STE 200 &amp; 300; VA-NORFOLK, 5800 NORTHAMPTON BLVD; IL-CHICAGO, 233 S WACKER DR, STE 3700</t>
        </is>
      </c>
      <c r="G41" s="15" t="n">
        <v>46245</v>
      </c>
      <c r="H41" s="16">
        <f>$B$3-G41</f>
        <v/>
      </c>
      <c r="I41" s="13" t="inlineStr">
        <is>
          <t>Workday</t>
        </is>
      </c>
      <c r="J41" s="13" t="inlineStr">
        <is>
          <t>JR202664</t>
        </is>
      </c>
      <c r="K41" s="17" t="inlineStr">
        <is>
          <t>Open posting</t>
        </is>
      </c>
    </row>
    <row r="42">
      <c r="A42" s="6" t="n">
        <v>18</v>
      </c>
      <c r="B42" s="7" t="inlineStr">
        <is>
          <t>Fortune 1-100</t>
        </is>
      </c>
      <c r="C42" s="7" t="inlineStr">
        <is>
          <t>Elevance Health</t>
        </is>
      </c>
      <c r="D42" s="8" t="inlineStr">
        <is>
          <t>Sr Test Analyst PBM (Business Analyst III)</t>
        </is>
      </c>
      <c r="E42" s="7" t="inlineStr">
        <is>
          <t>Senior Business Analyst</t>
        </is>
      </c>
      <c r="F42" s="8" t="inlineStr">
        <is>
          <t>TX-GRAND PRAIRIE, 2505 N HWY 360, STE 200 &amp; 300; GA-ATLANTA, 740 W PEACHTREE ST NW; NC-DURHAM, 1960 IVY CREEK BLVD, 2ND FL; OH-MASON, 4361 IRWIN SIMPSON RD</t>
        </is>
      </c>
      <c r="G42" s="9" t="n">
        <v>46245</v>
      </c>
      <c r="H42" s="10">
        <f>$B$3-G42</f>
        <v/>
      </c>
      <c r="I42" s="7" t="inlineStr">
        <is>
          <t>Workday</t>
        </is>
      </c>
      <c r="J42" s="7" t="inlineStr">
        <is>
          <t>JR200042</t>
        </is>
      </c>
      <c r="K42" s="11" t="inlineStr">
        <is>
          <t>Open posting</t>
        </is>
      </c>
    </row>
    <row r="43">
      <c r="A43" s="12" t="n">
        <v>39</v>
      </c>
      <c r="B43" s="13" t="inlineStr">
        <is>
          <t>Fortune 1-100</t>
        </is>
      </c>
      <c r="C43" s="13" t="inlineStr">
        <is>
          <t>Morgan Stanley</t>
        </is>
      </c>
      <c r="D43" s="14" t="inlineStr">
        <is>
          <t>Lead Business Analyst - Parametric</t>
        </is>
      </c>
      <c r="E43" s="13" t="inlineStr">
        <is>
          <t>Senior Business Analyst</t>
        </is>
      </c>
      <c r="F43" s="14" t="inlineStr">
        <is>
          <t>Boston, Massachusetts, United States of America; Alpharetta GA 1 Edison</t>
        </is>
      </c>
      <c r="G43" s="15" t="n">
        <v>46245</v>
      </c>
      <c r="H43" s="16">
        <f>$B$3-G43</f>
        <v/>
      </c>
      <c r="I43" s="13" t="inlineStr">
        <is>
          <t>Workday</t>
        </is>
      </c>
      <c r="J43" s="13" t="inlineStr">
        <is>
          <t>PT-JR038385</t>
        </is>
      </c>
      <c r="K43" s="17" t="inlineStr">
        <is>
          <t>Open posting</t>
        </is>
      </c>
    </row>
    <row r="44">
      <c r="A44" s="6" t="n">
        <v>44</v>
      </c>
      <c r="B44" s="7" t="inlineStr">
        <is>
          <t>Fortune 1-100</t>
        </is>
      </c>
      <c r="C44" s="7" t="inlineStr">
        <is>
          <t>Walt Disney</t>
        </is>
      </c>
      <c r="D44" s="8" t="inlineStr">
        <is>
          <t>Sr Business Analyst</t>
        </is>
      </c>
      <c r="E44" s="7" t="inlineStr">
        <is>
          <t>Senior Business Analyst</t>
        </is>
      </c>
      <c r="F44" s="8" t="inlineStr">
        <is>
          <t>New York, CA, USA; Bristol, CT, USA</t>
        </is>
      </c>
      <c r="G44" s="9" t="n">
        <v>46245</v>
      </c>
      <c r="H44" s="10">
        <f>$B$3-G44</f>
        <v/>
      </c>
      <c r="I44" s="7" t="inlineStr">
        <is>
          <t>Workday</t>
        </is>
      </c>
      <c r="J44" s="7" t="inlineStr">
        <is>
          <t>10157209</t>
        </is>
      </c>
      <c r="K44" s="11" t="inlineStr">
        <is>
          <t>Open posting</t>
        </is>
      </c>
    </row>
    <row r="45">
      <c r="A45" s="12" t="n">
        <v>63</v>
      </c>
      <c r="B45" s="13" t="inlineStr">
        <is>
          <t>Fortune 1-100</t>
        </is>
      </c>
      <c r="C45" s="13" t="inlineStr">
        <is>
          <t>Capital One Financial</t>
        </is>
      </c>
      <c r="D45" s="14" t="inlineStr">
        <is>
          <t>Senior Business Analyst - Credit Reporting &amp; Performance</t>
        </is>
      </c>
      <c r="E45" s="13" t="inlineStr">
        <is>
          <t>Senior Business Analyst</t>
        </is>
      </c>
      <c r="F45" s="14" t="inlineStr">
        <is>
          <t>McLean, VA</t>
        </is>
      </c>
      <c r="G45" s="15" t="n">
        <v>46245</v>
      </c>
      <c r="H45" s="16">
        <f>$B$3-G45</f>
        <v/>
      </c>
      <c r="I45" s="13" t="inlineStr">
        <is>
          <t>Workday</t>
        </is>
      </c>
      <c r="J45" s="13" t="inlineStr">
        <is>
          <t>R248806</t>
        </is>
      </c>
      <c r="K45" s="17" t="inlineStr">
        <is>
          <t>Open posting</t>
        </is>
      </c>
    </row>
    <row r="46">
      <c r="A46" s="6" t="n">
        <v>63</v>
      </c>
      <c r="B46" s="7" t="inlineStr">
        <is>
          <t>Fortune 1-100</t>
        </is>
      </c>
      <c r="C46" s="7" t="inlineStr">
        <is>
          <t>Capital One Financial</t>
        </is>
      </c>
      <c r="D46" s="8" t="inlineStr">
        <is>
          <t>Senior Business Analyst- PULSE - Global Payment Network</t>
        </is>
      </c>
      <c r="E46" s="7" t="inlineStr">
        <is>
          <t>Senior Business Analyst</t>
        </is>
      </c>
      <c r="F46" s="8" t="inlineStr">
        <is>
          <t>Houston, TX; McLean, VA; Riverwoods, IL</t>
        </is>
      </c>
      <c r="G46" s="9" t="n">
        <v>46245</v>
      </c>
      <c r="H46" s="10">
        <f>$B$3-G46</f>
        <v/>
      </c>
      <c r="I46" s="7" t="inlineStr">
        <is>
          <t>Workday</t>
        </is>
      </c>
      <c r="J46" s="7" t="inlineStr">
        <is>
          <t>R248919</t>
        </is>
      </c>
      <c r="K46" s="11" t="inlineStr">
        <is>
          <t>Open posting</t>
        </is>
      </c>
    </row>
    <row r="47">
      <c r="A47" s="12" t="n">
        <v>91</v>
      </c>
      <c r="B47" s="13" t="inlineStr">
        <is>
          <t>Fortune 1-100</t>
        </is>
      </c>
      <c r="C47" s="13" t="inlineStr">
        <is>
          <t>General Dynamics</t>
        </is>
      </c>
      <c r="D47" s="14" t="inlineStr">
        <is>
          <t>Business Analyst, Senior</t>
        </is>
      </c>
      <c r="E47" s="13" t="inlineStr">
        <is>
          <t>Senior Business Analyst</t>
        </is>
      </c>
      <c r="F47" s="14" t="inlineStr">
        <is>
          <t>USA FL MacDill AFB</t>
        </is>
      </c>
      <c r="G47" s="15" t="n">
        <v>46245</v>
      </c>
      <c r="H47" s="16">
        <f>$B$3-G47</f>
        <v/>
      </c>
      <c r="I47" s="13" t="inlineStr">
        <is>
          <t>Workday</t>
        </is>
      </c>
      <c r="J47" s="13" t="inlineStr">
        <is>
          <t>RQ225710</t>
        </is>
      </c>
      <c r="K47" s="17" t="inlineStr">
        <is>
          <t>Open posting</t>
        </is>
      </c>
    </row>
    <row r="48">
      <c r="A48" s="6" t="n">
        <v>93</v>
      </c>
      <c r="B48" s="7" t="inlineStr">
        <is>
          <t>Fortune 1-100</t>
        </is>
      </c>
      <c r="C48" s="7" t="inlineStr">
        <is>
          <t>USAA</t>
        </is>
      </c>
      <c r="D48" s="8" t="inlineStr">
        <is>
          <t>Audit Data Analyst - Senior Auditor (I)</t>
        </is>
      </c>
      <c r="E48" s="7" t="inlineStr">
        <is>
          <t>Senior Data Analyst</t>
        </is>
      </c>
      <c r="F48" s="8" t="inlineStr">
        <is>
          <t>Charlotte, NC - CENTS; San Antonio Home Office I</t>
        </is>
      </c>
      <c r="G48" s="9" t="n">
        <v>46245</v>
      </c>
      <c r="H48" s="10">
        <f>$B$3-G48</f>
        <v/>
      </c>
      <c r="I48" s="7" t="inlineStr">
        <is>
          <t>Workday</t>
        </is>
      </c>
      <c r="J48" s="7" t="inlineStr">
        <is>
          <t>R0117731</t>
        </is>
      </c>
      <c r="K48" s="11" t="inlineStr">
        <is>
          <t>Open posting</t>
        </is>
      </c>
    </row>
    <row r="49">
      <c r="A49" s="12" t="n">
        <v>110</v>
      </c>
      <c r="B49" s="13" t="inlineStr">
        <is>
          <t>Fortune 101-200</t>
        </is>
      </c>
      <c r="C49" s="13" t="inlineStr">
        <is>
          <t>U.S. Bancorp</t>
        </is>
      </c>
      <c r="D49" s="14" t="inlineStr">
        <is>
          <t>Business Analyst - Reconciliation and Payment Team</t>
        </is>
      </c>
      <c r="E49" s="13" t="inlineStr">
        <is>
          <t>Business Analyst</t>
        </is>
      </c>
      <c r="F49" s="14" t="inlineStr">
        <is>
          <t>Saint Paul, MN</t>
        </is>
      </c>
      <c r="G49" s="15" t="n">
        <v>46245</v>
      </c>
      <c r="H49" s="16">
        <f>$B$3-G49</f>
        <v/>
      </c>
      <c r="I49" s="13" t="inlineStr">
        <is>
          <t>Workday</t>
        </is>
      </c>
      <c r="J49" s="13" t="inlineStr">
        <is>
          <t>2026-0012731</t>
        </is>
      </c>
      <c r="K49" s="17" t="inlineStr">
        <is>
          <t>Open posting</t>
        </is>
      </c>
    </row>
    <row r="50">
      <c r="A50" s="6" t="n">
        <v>140</v>
      </c>
      <c r="B50" s="7" t="inlineStr">
        <is>
          <t>Fortune 101-200</t>
        </is>
      </c>
      <c r="C50" s="7" t="inlineStr">
        <is>
          <t>GuideWell Mutual Holding</t>
        </is>
      </c>
      <c r="D50" s="8" t="inlineStr">
        <is>
          <t>Data Analyst V – Operational Data Science</t>
        </is>
      </c>
      <c r="E50" s="7" t="inlineStr">
        <is>
          <t>Data Analyst</t>
        </is>
      </c>
      <c r="F50" s="8" t="inlineStr">
        <is>
          <t>United States</t>
        </is>
      </c>
      <c r="G50" s="9" t="n">
        <v>46245</v>
      </c>
      <c r="H50" s="10">
        <f>$B$3-G50</f>
        <v/>
      </c>
      <c r="I50" s="7" t="inlineStr">
        <is>
          <t>Oracle Cloud</t>
        </is>
      </c>
      <c r="J50" s="7" t="inlineStr">
        <is>
          <t>41737</t>
        </is>
      </c>
      <c r="K50" s="11" t="inlineStr">
        <is>
          <t>Open posting</t>
        </is>
      </c>
    </row>
    <row r="51">
      <c r="A51" s="12" t="n">
        <v>8</v>
      </c>
      <c r="B51" s="13" t="inlineStr">
        <is>
          <t>Fortune 1-100</t>
        </is>
      </c>
      <c r="C51" s="13" t="inlineStr">
        <is>
          <t>McKesson</t>
        </is>
      </c>
      <c r="D51" s="14" t="inlineStr">
        <is>
          <t>Sr. SAP Vistex Business Analyst</t>
        </is>
      </c>
      <c r="E51" s="13" t="inlineStr">
        <is>
          <t>Senior Business Analyst</t>
        </is>
      </c>
      <c r="F51" s="14" t="inlineStr">
        <is>
          <t>USA, TX, Irving</t>
        </is>
      </c>
      <c r="G51" s="15" t="n">
        <v>46244</v>
      </c>
      <c r="H51" s="16">
        <f>$B$3-G51</f>
        <v/>
      </c>
      <c r="I51" s="13" t="inlineStr">
        <is>
          <t>Workday</t>
        </is>
      </c>
      <c r="J51" s="13" t="inlineStr">
        <is>
          <t>JR0152006</t>
        </is>
      </c>
      <c r="K51" s="17" t="inlineStr">
        <is>
          <t>Open posting</t>
        </is>
      </c>
    </row>
    <row r="52">
      <c r="A52" s="6" t="n">
        <v>30</v>
      </c>
      <c r="B52" s="7" t="inlineStr">
        <is>
          <t>Fortune 1-100</t>
        </is>
      </c>
      <c r="C52" s="7" t="inlineStr">
        <is>
          <t>Marathon Petroleum</t>
        </is>
      </c>
      <c r="D52" s="8" t="inlineStr">
        <is>
          <t>Senior/Lead Business Analyst</t>
        </is>
      </c>
      <c r="E52" s="7" t="inlineStr">
        <is>
          <t>Senior Business Analyst</t>
        </is>
      </c>
      <c r="F52" s="8" t="inlineStr">
        <is>
          <t>Findlay, Ohio; Houston, Texas; San Antonio, Texas</t>
        </is>
      </c>
      <c r="G52" s="9" t="n">
        <v>46244</v>
      </c>
      <c r="H52" s="10">
        <f>$B$3-G52</f>
        <v/>
      </c>
      <c r="I52" s="7" t="inlineStr">
        <is>
          <t>Workday</t>
        </is>
      </c>
      <c r="J52" s="7" t="inlineStr">
        <is>
          <t>00023212</t>
        </is>
      </c>
      <c r="K52" s="11" t="inlineStr">
        <is>
          <t>Open posting</t>
        </is>
      </c>
    </row>
    <row r="53">
      <c r="A53" s="12" t="n">
        <v>33</v>
      </c>
      <c r="B53" s="13" t="inlineStr">
        <is>
          <t>Fortune 1-100</t>
        </is>
      </c>
      <c r="C53" s="13" t="inlineStr">
        <is>
          <t>Freddie Mac</t>
        </is>
      </c>
      <c r="D53" s="14" t="inlineStr">
        <is>
          <t>Single Family Business Analyst</t>
        </is>
      </c>
      <c r="E53" s="13" t="inlineStr">
        <is>
          <t>Business Analyst</t>
        </is>
      </c>
      <c r="F53" s="14" t="inlineStr">
        <is>
          <t>McLean, VA</t>
        </is>
      </c>
      <c r="G53" s="15" t="n">
        <v>46244</v>
      </c>
      <c r="H53" s="16">
        <f>$B$3-G53</f>
        <v/>
      </c>
      <c r="I53" s="13" t="inlineStr">
        <is>
          <t>Workday</t>
        </is>
      </c>
      <c r="J53" s="13" t="inlineStr">
        <is>
          <t>JR17442</t>
        </is>
      </c>
      <c r="K53" s="17" t="inlineStr">
        <is>
          <t>Open posting</t>
        </is>
      </c>
    </row>
    <row r="54">
      <c r="A54" s="6" t="n">
        <v>63</v>
      </c>
      <c r="B54" s="7" t="inlineStr">
        <is>
          <t>Fortune 1-100</t>
        </is>
      </c>
      <c r="C54" s="7" t="inlineStr">
        <is>
          <t>Capital One Financial</t>
        </is>
      </c>
      <c r="D54" s="8" t="inlineStr">
        <is>
          <t>Senior Data Analyst - Card</t>
        </is>
      </c>
      <c r="E54" s="7" t="inlineStr">
        <is>
          <t>Senior Data Analyst</t>
        </is>
      </c>
      <c r="F54" s="8" t="inlineStr">
        <is>
          <t>McLean, VA; Richmond, VA</t>
        </is>
      </c>
      <c r="G54" s="9" t="n">
        <v>46244</v>
      </c>
      <c r="H54" s="10">
        <f>$B$3-G54</f>
        <v/>
      </c>
      <c r="I54" s="7" t="inlineStr">
        <is>
          <t>Workday</t>
        </is>
      </c>
      <c r="J54" s="7" t="inlineStr">
        <is>
          <t>R248928</t>
        </is>
      </c>
      <c r="K54" s="11" t="inlineStr">
        <is>
          <t>Open posting</t>
        </is>
      </c>
    </row>
    <row r="55">
      <c r="A55" s="12" t="n">
        <v>63</v>
      </c>
      <c r="B55" s="13" t="inlineStr">
        <is>
          <t>Fortune 1-100</t>
        </is>
      </c>
      <c r="C55" s="13" t="inlineStr">
        <is>
          <t>Capital One Financial</t>
        </is>
      </c>
      <c r="D55" s="14" t="inlineStr">
        <is>
          <t>Sr. Data Analyst - Card</t>
        </is>
      </c>
      <c r="E55" s="13" t="inlineStr">
        <is>
          <t>Senior Data Analyst</t>
        </is>
      </c>
      <c r="F55" s="14" t="inlineStr">
        <is>
          <t>McLean, VA; Richmond, VA</t>
        </is>
      </c>
      <c r="G55" s="15" t="n">
        <v>46244</v>
      </c>
      <c r="H55" s="16">
        <f>$B$3-G55</f>
        <v/>
      </c>
      <c r="I55" s="13" t="inlineStr">
        <is>
          <t>Workday</t>
        </is>
      </c>
      <c r="J55" s="13" t="inlineStr">
        <is>
          <t>R248849</t>
        </is>
      </c>
      <c r="K55" s="17" t="inlineStr">
        <is>
          <t>Open posting</t>
        </is>
      </c>
    </row>
    <row r="56">
      <c r="A56" s="6" t="n">
        <v>63</v>
      </c>
      <c r="B56" s="7" t="inlineStr">
        <is>
          <t>Fortune 1-100</t>
        </is>
      </c>
      <c r="C56" s="7" t="inlineStr">
        <is>
          <t>Capital One Financial</t>
        </is>
      </c>
      <c r="D56" s="8" t="inlineStr">
        <is>
          <t>Sr. Business Analyst</t>
        </is>
      </c>
      <c r="E56" s="7" t="inlineStr">
        <is>
          <t>Senior Business Analyst</t>
        </is>
      </c>
      <c r="F56" s="8" t="inlineStr">
        <is>
          <t>Plano, TX</t>
        </is>
      </c>
      <c r="G56" s="9" t="n">
        <v>46244</v>
      </c>
      <c r="H56" s="10">
        <f>$B$3-G56</f>
        <v/>
      </c>
      <c r="I56" s="7" t="inlineStr">
        <is>
          <t>Workday</t>
        </is>
      </c>
      <c r="J56" s="7" t="inlineStr">
        <is>
          <t>R248897</t>
        </is>
      </c>
      <c r="K56" s="11" t="inlineStr">
        <is>
          <t>Open posting</t>
        </is>
      </c>
    </row>
    <row r="58">
      <c r="A58" s="18" t="inlineStr">
        <is>
          <t>Summary</t>
        </is>
      </c>
    </row>
    <row r="59">
      <c r="A59" s="19" t="inlineStr">
        <is>
          <t>Total openings</t>
        </is>
      </c>
      <c r="B59" s="20">
        <f>COUNTA(D6:D56)</f>
        <v/>
      </c>
    </row>
    <row r="60">
      <c r="A60" s="19" t="inlineStr">
        <is>
          <t>Distinct companies</t>
        </is>
      </c>
      <c r="B60" s="20">
        <f>SUMPRODUCT(1/COUNTIF(C6:C56,C6:C56))</f>
        <v/>
      </c>
    </row>
    <row r="61">
      <c r="A61" s="19" t="inlineStr">
        <is>
          <t>From Fortune 1-100</t>
        </is>
      </c>
      <c r="B61" s="20">
        <f>COUNTIF(B6:B56,"Fortune 1-100")</f>
        <v/>
      </c>
    </row>
    <row r="62">
      <c r="A62" s="19" t="inlineStr">
        <is>
          <t>From Fortune 101-200</t>
        </is>
      </c>
      <c r="B62" s="20">
        <f>COUNTIF(B6:B56,"Fortune 101-200")</f>
        <v/>
      </c>
    </row>
    <row r="63">
      <c r="A63" s="19" t="inlineStr">
        <is>
          <t>Posted today</t>
        </is>
      </c>
      <c r="B63" s="20">
        <f>COUNTIF(H6:H56,0)</f>
        <v/>
      </c>
    </row>
    <row r="64">
      <c r="A64" s="19" t="inlineStr">
        <is>
          <t>Posted 1 day ago</t>
        </is>
      </c>
      <c r="B64" s="20">
        <f>COUNTIF(H6:H56,1)</f>
        <v/>
      </c>
    </row>
    <row r="65">
      <c r="A65" s="19" t="inlineStr">
        <is>
          <t>Posted 2 days ago</t>
        </is>
      </c>
      <c r="B65" s="20">
        <f>COUNTIF(H6:H56,2)</f>
        <v/>
      </c>
    </row>
    <row r="66">
      <c r="A66" s="19" t="inlineStr">
        <is>
          <t>Posted 3 days ago</t>
        </is>
      </c>
      <c r="B66" s="20">
        <f>COUNTIF(H6:H56,3)</f>
        <v/>
      </c>
    </row>
    <row r="67">
      <c r="A67" s="19" t="inlineStr">
        <is>
          <t>Data Analyst</t>
        </is>
      </c>
      <c r="B67" s="20">
        <f>COUNTIF(E6:E56,"Data Analyst")</f>
        <v/>
      </c>
    </row>
    <row r="68">
      <c r="A68" s="19" t="inlineStr">
        <is>
          <t>Senior Data Analyst</t>
        </is>
      </c>
      <c r="B68" s="20">
        <f>COUNTIF(E6:E56,"Senior Data Analyst")</f>
        <v/>
      </c>
    </row>
    <row r="69">
      <c r="A69" s="19" t="inlineStr">
        <is>
          <t>Business Analyst</t>
        </is>
      </c>
      <c r="B69" s="20">
        <f>COUNTIF(E6:E56,"Business Analyst")</f>
        <v/>
      </c>
    </row>
    <row r="70">
      <c r="A70" s="19" t="inlineStr">
        <is>
          <t>Senior Business Analyst</t>
        </is>
      </c>
      <c r="B70" s="20">
        <f>COUNTIF(E6:E56,"Senior Business Analyst")</f>
        <v/>
      </c>
    </row>
  </sheetData>
  <autoFilter ref="A5:K56"/>
  <mergeCells count="2">
    <mergeCell ref="A2:K2"/>
    <mergeCell ref="A1:K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50" customWidth="1" min="4" max="4"/>
    <col width="21" customWidth="1" min="5" max="5"/>
    <col width="38" customWidth="1" min="6" max="6"/>
    <col width="13" customWidth="1" min="7" max="7"/>
    <col width="10" customWidth="1" min="8" max="8"/>
    <col width="20" customWidth="1" min="9" max="9"/>
    <col width="14" customWidth="1" min="10" max="10"/>
    <col width="38" customWidth="1" min="11" max="11"/>
  </cols>
  <sheetData>
    <row r="1">
      <c r="A1" s="1" t="inlineStr">
        <is>
          <t>Backup - US Analyst Openings Posted 4 to 7 Days Ago</t>
        </is>
      </c>
    </row>
    <row r="2">
      <c r="A2" s="2" t="inlineStr">
        <is>
          <t>Outside the 72-hour rule you set. Kept separate so the main sheet stays clean.</t>
        </is>
      </c>
    </row>
    <row r="3">
      <c r="A3" s="3" t="inlineStr">
        <is>
          <t>Pull date -&gt;</t>
        </is>
      </c>
      <c r="B3" s="4" t="n">
        <v>46247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Tier</t>
        </is>
      </c>
      <c r="C5" s="5" t="inlineStr">
        <is>
          <t>Company</t>
        </is>
      </c>
      <c r="D5" s="5" t="inlineStr">
        <is>
          <t>Job Title</t>
        </is>
      </c>
      <c r="E5" s="5" t="inlineStr">
        <is>
          <t>Role Type</t>
        </is>
      </c>
      <c r="F5" s="5" t="inlineStr">
        <is>
          <t>Location(s) - US</t>
        </is>
      </c>
      <c r="G5" s="5" t="inlineStr">
        <is>
          <t>Posted Date</t>
        </is>
      </c>
      <c r="H5" s="5" t="inlineStr">
        <is>
          <t>Days Old</t>
        </is>
      </c>
      <c r="I5" s="5" t="inlineStr">
        <is>
          <t>Source</t>
        </is>
      </c>
      <c r="J5" s="5" t="inlineStr">
        <is>
          <t>Req ID</t>
        </is>
      </c>
      <c r="K5" s="5" t="inlineStr">
        <is>
          <t>Apply Link</t>
        </is>
      </c>
    </row>
    <row r="6">
      <c r="A6" s="6" t="n">
        <v>1</v>
      </c>
      <c r="B6" s="7" t="inlineStr">
        <is>
          <t>Fortune 1-100</t>
        </is>
      </c>
      <c r="C6" s="7" t="inlineStr">
        <is>
          <t>Amazon</t>
        </is>
      </c>
      <c r="D6" s="8" t="inlineStr">
        <is>
          <t>Senior Business Analyst, GOEST (Global Operations Enterprise Services - Tech)</t>
        </is>
      </c>
      <c r="E6" s="7" t="inlineStr">
        <is>
          <t>Senior Business Analyst</t>
        </is>
      </c>
      <c r="F6" s="8" t="inlineStr">
        <is>
          <t>Austin, Texas, USA</t>
        </is>
      </c>
      <c r="G6" s="9" t="n">
        <v>46241</v>
      </c>
      <c r="H6" s="10">
        <f>$B$3-G6</f>
        <v/>
      </c>
      <c r="I6" s="7" t="inlineStr">
        <is>
          <t>amazon.jobs</t>
        </is>
      </c>
      <c r="J6" s="7" t="inlineStr">
        <is>
          <t>10496069</t>
        </is>
      </c>
      <c r="K6" s="11" t="inlineStr">
        <is>
          <t>Open posting</t>
        </is>
      </c>
    </row>
    <row r="7">
      <c r="A7" s="12" t="n">
        <v>12</v>
      </c>
      <c r="B7" s="13" t="inlineStr">
        <is>
          <t>Fortune 1-100</t>
        </is>
      </c>
      <c r="C7" s="13" t="inlineStr">
        <is>
          <t>JPMorgan Chase</t>
        </is>
      </c>
      <c r="D7" s="14" t="inlineStr">
        <is>
          <t>Lead Solutions Analyst-Business Solution Analyst/Data Analyst</t>
        </is>
      </c>
      <c r="E7" s="13" t="inlineStr">
        <is>
          <t>Senior Data Analyst</t>
        </is>
      </c>
      <c r="F7" s="14" t="inlineStr">
        <is>
          <t>Houston, TX, United States</t>
        </is>
      </c>
      <c r="G7" s="15" t="n">
        <v>46241</v>
      </c>
      <c r="H7" s="16">
        <f>$B$3-G7</f>
        <v/>
      </c>
      <c r="I7" s="13" t="inlineStr">
        <is>
          <t>Oracle Cloud</t>
        </is>
      </c>
      <c r="J7" s="13" t="inlineStr">
        <is>
          <t>210775424</t>
        </is>
      </c>
      <c r="K7" s="17" t="inlineStr">
        <is>
          <t>Open posting</t>
        </is>
      </c>
    </row>
    <row r="8">
      <c r="A8" s="6" t="n">
        <v>15</v>
      </c>
      <c r="B8" s="7" t="inlineStr">
        <is>
          <t>Fortune 1-100</t>
        </is>
      </c>
      <c r="C8" s="7" t="inlineStr">
        <is>
          <t>Cardinal Health</t>
        </is>
      </c>
      <c r="D8" s="8" t="inlineStr">
        <is>
          <t>Data Analyst</t>
        </is>
      </c>
      <c r="E8" s="7" t="inlineStr">
        <is>
          <t>Data Analyst</t>
        </is>
      </c>
      <c r="F8" s="8" t="inlineStr">
        <is>
          <t>US-Nationwide-FIELD</t>
        </is>
      </c>
      <c r="G8" s="9" t="n">
        <v>46241</v>
      </c>
      <c r="H8" s="10">
        <f>$B$3-G8</f>
        <v/>
      </c>
      <c r="I8" s="7" t="inlineStr">
        <is>
          <t>Workday</t>
        </is>
      </c>
      <c r="J8" s="7" t="inlineStr">
        <is>
          <t>20185076</t>
        </is>
      </c>
      <c r="K8" s="11" t="inlineStr">
        <is>
          <t>Open posting</t>
        </is>
      </c>
    </row>
    <row r="9">
      <c r="A9" s="12" t="n">
        <v>15</v>
      </c>
      <c r="B9" s="13" t="inlineStr">
        <is>
          <t>Fortune 1-100</t>
        </is>
      </c>
      <c r="C9" s="13" t="inlineStr">
        <is>
          <t>Cardinal Health</t>
        </is>
      </c>
      <c r="D9" s="14" t="inlineStr">
        <is>
          <t>Genesys Cloud - Business Analyst</t>
        </is>
      </c>
      <c r="E9" s="13" t="inlineStr">
        <is>
          <t>Business Analyst</t>
        </is>
      </c>
      <c r="F9" s="14" t="inlineStr">
        <is>
          <t>US-Nationwide-FIELD</t>
        </is>
      </c>
      <c r="G9" s="15" t="n">
        <v>46241</v>
      </c>
      <c r="H9" s="16">
        <f>$B$3-G9</f>
        <v/>
      </c>
      <c r="I9" s="13" t="inlineStr">
        <is>
          <t>Workday</t>
        </is>
      </c>
      <c r="J9" s="13" t="inlineStr">
        <is>
          <t>20184929</t>
        </is>
      </c>
      <c r="K9" s="17" t="inlineStr">
        <is>
          <t>Open posting</t>
        </is>
      </c>
    </row>
    <row r="10">
      <c r="A10" s="6" t="n">
        <v>30</v>
      </c>
      <c r="B10" s="7" t="inlineStr">
        <is>
          <t>Fortune 1-100</t>
        </is>
      </c>
      <c r="C10" s="7" t="inlineStr">
        <is>
          <t>Marathon Petroleum</t>
        </is>
      </c>
      <c r="D10" s="8" t="inlineStr">
        <is>
          <t>Senior/Lead Data Analyst – Strategy &amp; Business Development - Central Support &amp; Predictive Intelligence</t>
        </is>
      </c>
      <c r="E10" s="7" t="inlineStr">
        <is>
          <t>Senior Data Analyst</t>
        </is>
      </c>
      <c r="F10" s="8" t="inlineStr">
        <is>
          <t>Findlay, Ohio; Houston, Texas</t>
        </is>
      </c>
      <c r="G10" s="9" t="n">
        <v>46241</v>
      </c>
      <c r="H10" s="10">
        <f>$B$3-G10</f>
        <v/>
      </c>
      <c r="I10" s="7" t="inlineStr">
        <is>
          <t>Workday</t>
        </is>
      </c>
      <c r="J10" s="7" t="inlineStr">
        <is>
          <t>00023202</t>
        </is>
      </c>
      <c r="K10" s="11" t="inlineStr">
        <is>
          <t>Open posting</t>
        </is>
      </c>
    </row>
    <row r="11">
      <c r="A11" s="12" t="n">
        <v>39</v>
      </c>
      <c r="B11" s="13" t="inlineStr">
        <is>
          <t>Fortune 1-100</t>
        </is>
      </c>
      <c r="C11" s="13" t="inlineStr">
        <is>
          <t>Morgan Stanley</t>
        </is>
      </c>
      <c r="D11" s="14" t="inlineStr">
        <is>
          <t>Technical Business Analyst</t>
        </is>
      </c>
      <c r="E11" s="13" t="inlineStr">
        <is>
          <t>Business Analyst</t>
        </is>
      </c>
      <c r="F11" s="14" t="inlineStr">
        <is>
          <t>New York, New York, United States of America</t>
        </is>
      </c>
      <c r="G11" s="15" t="n">
        <v>46241</v>
      </c>
      <c r="H11" s="16">
        <f>$B$3-G11</f>
        <v/>
      </c>
      <c r="I11" s="13" t="inlineStr">
        <is>
          <t>Workday</t>
        </is>
      </c>
      <c r="J11" s="13" t="inlineStr">
        <is>
          <t>PT-JR041640</t>
        </is>
      </c>
      <c r="K11" s="17" t="inlineStr">
        <is>
          <t>Open posting</t>
        </is>
      </c>
    </row>
    <row r="12">
      <c r="A12" s="6" t="n">
        <v>49</v>
      </c>
      <c r="B12" s="7" t="inlineStr">
        <is>
          <t>Fortune 1-100</t>
        </is>
      </c>
      <c r="C12" s="7" t="inlineStr">
        <is>
          <t>RTX</t>
        </is>
      </c>
      <c r="D12" s="8" t="inlineStr">
        <is>
          <t>Sr. Data Analyst (Puerto Rico)</t>
        </is>
      </c>
      <c r="E12" s="7" t="inlineStr">
        <is>
          <t>Senior Data Analyst</t>
        </is>
      </c>
      <c r="F12" s="8" t="inlineStr">
        <is>
          <t>US-PR-SANTA ISABEL-B1 ~ Felicia Industrial Park - St B1 ~ BLDG 1</t>
        </is>
      </c>
      <c r="G12" s="9" t="n">
        <v>46241</v>
      </c>
      <c r="H12" s="10">
        <f>$B$3-G12</f>
        <v/>
      </c>
      <c r="I12" s="7" t="inlineStr">
        <is>
          <t>Workday</t>
        </is>
      </c>
      <c r="J12" s="7" t="inlineStr">
        <is>
          <t>01865432</t>
        </is>
      </c>
      <c r="K12" s="11" t="inlineStr">
        <is>
          <t>Open posting</t>
        </is>
      </c>
    </row>
    <row r="13">
      <c r="A13" s="12" t="n">
        <v>91</v>
      </c>
      <c r="B13" s="13" t="inlineStr">
        <is>
          <t>Fortune 1-100</t>
        </is>
      </c>
      <c r="C13" s="13" t="inlineStr">
        <is>
          <t>General Dynamics</t>
        </is>
      </c>
      <c r="D13" s="14" t="inlineStr">
        <is>
          <t>Business Data Analyst</t>
        </is>
      </c>
      <c r="E13" s="13" t="inlineStr">
        <is>
          <t>Data Analyst</t>
        </is>
      </c>
      <c r="F13" s="14" t="inlineStr">
        <is>
          <t>Any Location / Remote</t>
        </is>
      </c>
      <c r="G13" s="15" t="n">
        <v>46241</v>
      </c>
      <c r="H13" s="16">
        <f>$B$3-G13</f>
        <v/>
      </c>
      <c r="I13" s="13" t="inlineStr">
        <is>
          <t>Workday</t>
        </is>
      </c>
      <c r="J13" s="13" t="inlineStr">
        <is>
          <t>RQ226032</t>
        </is>
      </c>
      <c r="K13" s="17" t="inlineStr">
        <is>
          <t>Open posting</t>
        </is>
      </c>
    </row>
    <row r="14">
      <c r="A14" s="6" t="n">
        <v>91</v>
      </c>
      <c r="B14" s="7" t="inlineStr">
        <is>
          <t>Fortune 1-100</t>
        </is>
      </c>
      <c r="C14" s="7" t="inlineStr">
        <is>
          <t>General Dynamics</t>
        </is>
      </c>
      <c r="D14" s="8" t="inlineStr">
        <is>
          <t>Lead Business Data Analyst</t>
        </is>
      </c>
      <c r="E14" s="7" t="inlineStr">
        <is>
          <t>Senior Data Analyst</t>
        </is>
      </c>
      <c r="F14" s="8" t="inlineStr">
        <is>
          <t>Any Location / Remote</t>
        </is>
      </c>
      <c r="G14" s="9" t="n">
        <v>46241</v>
      </c>
      <c r="H14" s="10">
        <f>$B$3-G14</f>
        <v/>
      </c>
      <c r="I14" s="7" t="inlineStr">
        <is>
          <t>Workday</t>
        </is>
      </c>
      <c r="J14" s="7" t="inlineStr">
        <is>
          <t>RQ226036</t>
        </is>
      </c>
      <c r="K14" s="11" t="inlineStr">
        <is>
          <t>Open posting</t>
        </is>
      </c>
    </row>
    <row r="15">
      <c r="A15" s="12" t="n">
        <v>91</v>
      </c>
      <c r="B15" s="13" t="inlineStr">
        <is>
          <t>Fortune 1-100</t>
        </is>
      </c>
      <c r="C15" s="13" t="inlineStr">
        <is>
          <t>General Dynamics</t>
        </is>
      </c>
      <c r="D15" s="14" t="inlineStr">
        <is>
          <t>Lead Business Analyst</t>
        </is>
      </c>
      <c r="E15" s="13" t="inlineStr">
        <is>
          <t>Senior Business Analyst</t>
        </is>
      </c>
      <c r="F15" s="14" t="inlineStr">
        <is>
          <t>Any Location / Remote</t>
        </is>
      </c>
      <c r="G15" s="15" t="n">
        <v>46241</v>
      </c>
      <c r="H15" s="16">
        <f>$B$3-G15</f>
        <v/>
      </c>
      <c r="I15" s="13" t="inlineStr">
        <is>
          <t>Workday</t>
        </is>
      </c>
      <c r="J15" s="13" t="inlineStr">
        <is>
          <t>RQ207291</t>
        </is>
      </c>
      <c r="K15" s="17" t="inlineStr">
        <is>
          <t>Open posting</t>
        </is>
      </c>
    </row>
    <row r="16">
      <c r="A16" s="6" t="n">
        <v>98</v>
      </c>
      <c r="B16" s="7" t="inlineStr">
        <is>
          <t>Fortune 1-100</t>
        </is>
      </c>
      <c r="C16" s="7" t="inlineStr">
        <is>
          <t>Coca-Cola</t>
        </is>
      </c>
      <c r="D16" s="8" t="inlineStr">
        <is>
          <t>Data Analyst</t>
        </is>
      </c>
      <c r="E16" s="7" t="inlineStr">
        <is>
          <t>Data Analyst</t>
        </is>
      </c>
      <c r="F16" s="8" t="inlineStr">
        <is>
          <t>US - GA - Atlanta</t>
        </is>
      </c>
      <c r="G16" s="9" t="n">
        <v>46241</v>
      </c>
      <c r="H16" s="10">
        <f>$B$3-G16</f>
        <v/>
      </c>
      <c r="I16" s="7" t="inlineStr">
        <is>
          <t>Workday</t>
        </is>
      </c>
      <c r="J16" s="7" t="inlineStr">
        <is>
          <t>R-144425</t>
        </is>
      </c>
      <c r="K16" s="11" t="inlineStr">
        <is>
          <t>Open posting</t>
        </is>
      </c>
    </row>
    <row r="17">
      <c r="A17" s="12" t="n">
        <v>182</v>
      </c>
      <c r="B17" s="13" t="inlineStr">
        <is>
          <t>Fortune 101-200</t>
        </is>
      </c>
      <c r="C17" s="13" t="inlineStr">
        <is>
          <t>Dollar Tree</t>
        </is>
      </c>
      <c r="D17" s="14" t="inlineStr">
        <is>
          <t>Business Analyst - Data Analytics &amp; Reporting</t>
        </is>
      </c>
      <c r="E17" s="13" t="inlineStr">
        <is>
          <t>Business Analyst</t>
        </is>
      </c>
      <c r="F17" s="14" t="inlineStr">
        <is>
          <t>VA-Chesapeake</t>
        </is>
      </c>
      <c r="G17" s="15" t="n">
        <v>46241</v>
      </c>
      <c r="H17" s="16">
        <f>$B$3-G17</f>
        <v/>
      </c>
      <c r="I17" s="13" t="inlineStr">
        <is>
          <t>Workday</t>
        </is>
      </c>
      <c r="J17" s="13" t="inlineStr">
        <is>
          <t>R-310323</t>
        </is>
      </c>
      <c r="K17" s="17" t="inlineStr">
        <is>
          <t>Open posting</t>
        </is>
      </c>
    </row>
    <row r="18">
      <c r="A18" s="6" t="n">
        <v>42</v>
      </c>
      <c r="B18" s="7" t="inlineStr">
        <is>
          <t>Fortune 1-100</t>
        </is>
      </c>
      <c r="C18" s="7" t="inlineStr">
        <is>
          <t>Target</t>
        </is>
      </c>
      <c r="D18" s="8" t="inlineStr">
        <is>
          <t>Sr Data Analyst - Digital and Ecommerce (Experimentation, Math/Stats, A/B testing, ML)</t>
        </is>
      </c>
      <c r="E18" s="7" t="inlineStr">
        <is>
          <t>Senior Data Analyst</t>
        </is>
      </c>
      <c r="F18" s="8" t="inlineStr">
        <is>
          <t>1000 Nicollet Mall, Minneapolis,MN 55403-2542</t>
        </is>
      </c>
      <c r="G18" s="9" t="n">
        <v>46240</v>
      </c>
      <c r="H18" s="10">
        <f>$B$3-G18</f>
        <v/>
      </c>
      <c r="I18" s="7" t="inlineStr">
        <is>
          <t>Workday</t>
        </is>
      </c>
      <c r="J18" s="7" t="inlineStr">
        <is>
          <t>R0000437894</t>
        </is>
      </c>
      <c r="K18" s="11" t="inlineStr">
        <is>
          <t>Open posting</t>
        </is>
      </c>
    </row>
    <row r="19">
      <c r="A19" s="12" t="n">
        <v>63</v>
      </c>
      <c r="B19" s="13" t="inlineStr">
        <is>
          <t>Fortune 1-100</t>
        </is>
      </c>
      <c r="C19" s="13" t="inlineStr">
        <is>
          <t>Capital One Financial</t>
        </is>
      </c>
      <c r="D19" s="14" t="inlineStr">
        <is>
          <t>Senior Business Analyst - Strategy &amp; Transformation (Model Risk)</t>
        </is>
      </c>
      <c r="E19" s="13" t="inlineStr">
        <is>
          <t>Senior Business Analyst</t>
        </is>
      </c>
      <c r="F19" s="14" t="inlineStr">
        <is>
          <t>McLean, VA; Richmond, VA</t>
        </is>
      </c>
      <c r="G19" s="15" t="n">
        <v>46240</v>
      </c>
      <c r="H19" s="16">
        <f>$B$3-G19</f>
        <v/>
      </c>
      <c r="I19" s="13" t="inlineStr">
        <is>
          <t>Workday</t>
        </is>
      </c>
      <c r="J19" s="13" t="inlineStr">
        <is>
          <t>R247112</t>
        </is>
      </c>
      <c r="K19" s="17" t="inlineStr">
        <is>
          <t>Open posting</t>
        </is>
      </c>
    </row>
    <row r="20">
      <c r="A20" s="6" t="n">
        <v>190</v>
      </c>
      <c r="B20" s="7" t="inlineStr">
        <is>
          <t>Fortune 101-200</t>
        </is>
      </c>
      <c r="C20" s="7" t="inlineStr">
        <is>
          <t>BlackRock</t>
        </is>
      </c>
      <c r="D20" s="8" t="inlineStr">
        <is>
          <t>Associate, Business Intelligence Developer/Business Analyst - PFS</t>
        </is>
      </c>
      <c r="E20" s="7" t="inlineStr">
        <is>
          <t>Business Analyst</t>
        </is>
      </c>
      <c r="F20" s="8" t="inlineStr">
        <is>
          <t>New York, NY</t>
        </is>
      </c>
      <c r="G20" s="9" t="n">
        <v>46240</v>
      </c>
      <c r="H20" s="10">
        <f>$B$3-G20</f>
        <v/>
      </c>
      <c r="I20" s="7" t="inlineStr">
        <is>
          <t>Workday</t>
        </is>
      </c>
      <c r="J20" s="7" t="inlineStr">
        <is>
          <t>R265901</t>
        </is>
      </c>
      <c r="K20" s="11" t="inlineStr">
        <is>
          <t>Open posting</t>
        </is>
      </c>
    </row>
  </sheetData>
  <autoFilter ref="A5:K20"/>
  <mergeCells count="2">
    <mergeCell ref="A2:K2"/>
    <mergeCell ref="A1:K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6" customWidth="1" min="4" max="4"/>
    <col width="17" customWidth="1" min="5" max="5"/>
    <col width="50" customWidth="1" min="6" max="6"/>
    <col width="24" customWidth="1" min="7" max="7"/>
  </cols>
  <sheetData>
    <row r="1">
      <c r="A1" s="1" t="inlineStr">
        <is>
          <t>Search Coverage - All 200 Fortune Companies</t>
        </is>
      </c>
    </row>
    <row r="2">
      <c r="A2" s="2" t="inlineStr">
        <is>
          <t>Which companies were searched via a live API and which were not, with the reason. For any company not searched, a blank means UNKNOWN - not 'no openings'. Use the careers link to check those by hand.</t>
        </is>
      </c>
    </row>
    <row r="4" ht="30" customHeight="1">
      <c r="A4" s="5" t="inlineStr">
        <is>
          <t>Rank</t>
        </is>
      </c>
      <c r="B4" s="5" t="inlineStr">
        <is>
          <t>Tier</t>
        </is>
      </c>
      <c r="C4" s="5" t="inlineStr">
        <is>
          <t>Company</t>
        </is>
      </c>
      <c r="D4" s="5" t="inlineStr">
        <is>
          <t>Search Status</t>
        </is>
      </c>
      <c r="E4" s="5" t="inlineStr">
        <is>
          <t>Matches (&lt;=7d, US)</t>
        </is>
      </c>
      <c r="F4" s="5" t="inlineStr">
        <is>
          <t>Source / Reason</t>
        </is>
      </c>
      <c r="G4" s="5" t="inlineStr">
        <is>
          <t>Careers Site</t>
        </is>
      </c>
    </row>
    <row r="5">
      <c r="A5" s="21" t="n">
        <v>1</v>
      </c>
      <c r="B5" s="22" t="inlineStr">
        <is>
          <t>Fortune 1-100</t>
        </is>
      </c>
      <c r="C5" s="22" t="inlineStr">
        <is>
          <t>Amazon</t>
        </is>
      </c>
      <c r="D5" s="23" t="inlineStr">
        <is>
          <t>Searched (live API)</t>
        </is>
      </c>
      <c r="E5" s="21" t="n">
        <v>5</v>
      </c>
      <c r="F5" s="24" t="inlineStr">
        <is>
          <t>amazon.jobs search API</t>
        </is>
      </c>
      <c r="G5" s="25" t="inlineStr">
        <is>
          <t>Careers site</t>
        </is>
      </c>
    </row>
    <row r="6">
      <c r="A6" s="21" t="n">
        <v>2</v>
      </c>
      <c r="B6" s="22" t="inlineStr">
        <is>
          <t>Fortune 1-100</t>
        </is>
      </c>
      <c r="C6" s="22" t="inlineStr">
        <is>
          <t>Walmart</t>
        </is>
      </c>
      <c r="D6" s="23" t="inlineStr">
        <is>
          <t>Searched (live API)</t>
        </is>
      </c>
      <c r="E6" s="21" t="n">
        <v>0</v>
      </c>
      <c r="F6" s="24" t="inlineStr">
        <is>
          <t>Workday API (walmart.wd5/WalmartExternal)</t>
        </is>
      </c>
      <c r="G6" s="25" t="inlineStr">
        <is>
          <t>Careers site</t>
        </is>
      </c>
    </row>
    <row r="7">
      <c r="A7" s="21" t="n">
        <v>3</v>
      </c>
      <c r="B7" s="22" t="inlineStr">
        <is>
          <t>Fortune 1-100</t>
        </is>
      </c>
      <c r="C7" s="22" t="inlineStr">
        <is>
          <t>UnitedHealth Group</t>
        </is>
      </c>
      <c r="D7" s="26" t="inlineStr">
        <is>
          <t>Not searched - no API</t>
        </is>
      </c>
      <c r="E7" s="21" t="inlineStr">
        <is>
          <t>not searched</t>
        </is>
      </c>
      <c r="F7" s="24" t="inlineStr">
        <is>
          <t>Radancy (HTML only)</t>
        </is>
      </c>
      <c r="G7" s="25" t="inlineStr">
        <is>
          <t>Careers site</t>
        </is>
      </c>
    </row>
    <row r="8">
      <c r="A8" s="21" t="n">
        <v>4</v>
      </c>
      <c r="B8" s="22" t="inlineStr">
        <is>
          <t>Fortune 1-100</t>
        </is>
      </c>
      <c r="C8" s="22" t="inlineStr">
        <is>
          <t>Apple</t>
        </is>
      </c>
      <c r="D8" s="27" t="inlineStr">
        <is>
          <t>Not searched - blocked</t>
        </is>
      </c>
      <c r="E8" s="21" t="inlineStr">
        <is>
          <t>not searched</t>
        </is>
      </c>
      <c r="F8" s="24" t="inlineStr">
        <is>
          <t>Search API requires browser-issued token</t>
        </is>
      </c>
      <c r="G8" s="25" t="inlineStr">
        <is>
          <t>Careers site</t>
        </is>
      </c>
    </row>
    <row r="9">
      <c r="A9" s="21" t="n">
        <v>5</v>
      </c>
      <c r="B9" s="22" t="inlineStr">
        <is>
          <t>Fortune 1-100</t>
        </is>
      </c>
      <c r="C9" s="22" t="inlineStr">
        <is>
          <t>Alphabet (Google)</t>
        </is>
      </c>
      <c r="D9" s="27" t="inlineStr">
        <is>
          <t>Not searched - blocked</t>
        </is>
      </c>
      <c r="E9" s="21" t="inlineStr">
        <is>
          <t>not searched</t>
        </is>
      </c>
      <c r="F9" s="24" t="inlineStr">
        <is>
          <t>Public search API retired; no open endpoint</t>
        </is>
      </c>
      <c r="G9" s="25" t="inlineStr">
        <is>
          <t>Careers site</t>
        </is>
      </c>
    </row>
    <row r="10">
      <c r="A10" s="21" t="n">
        <v>6</v>
      </c>
      <c r="B10" s="22" t="inlineStr">
        <is>
          <t>Fortune 1-100</t>
        </is>
      </c>
      <c r="C10" s="22" t="inlineStr">
        <is>
          <t>CVS Health</t>
        </is>
      </c>
      <c r="D10" s="23" t="inlineStr">
        <is>
          <t>Searched (live API)</t>
        </is>
      </c>
      <c r="E10" s="21" t="n">
        <v>0</v>
      </c>
      <c r="F10" s="24" t="inlineStr">
        <is>
          <t>Workday API (cvshealth.wd1/CVS_Health_Careers)</t>
        </is>
      </c>
      <c r="G10" s="25" t="inlineStr">
        <is>
          <t>Careers site</t>
        </is>
      </c>
    </row>
    <row r="11">
      <c r="A11" s="21" t="n">
        <v>7</v>
      </c>
      <c r="B11" s="22" t="inlineStr">
        <is>
          <t>Fortune 1-100</t>
        </is>
      </c>
      <c r="C11" s="22" t="inlineStr">
        <is>
          <t>Berkshire Hathaway</t>
        </is>
      </c>
      <c r="D11" s="26" t="inlineStr">
        <is>
          <t>Not searched - no API</t>
        </is>
      </c>
      <c r="E11" s="21" t="inlineStr">
        <is>
          <t>not searched</t>
        </is>
      </c>
      <c r="F11" s="24" t="inlineStr">
        <is>
          <t>Holding company - hiring sits with subsidiaries</t>
        </is>
      </c>
      <c r="G11" s="25" t="inlineStr">
        <is>
          <t>Careers site</t>
        </is>
      </c>
    </row>
    <row r="12">
      <c r="A12" s="21" t="n">
        <v>8</v>
      </c>
      <c r="B12" s="22" t="inlineStr">
        <is>
          <t>Fortune 1-100</t>
        </is>
      </c>
      <c r="C12" s="22" t="inlineStr">
        <is>
          <t>McKesson</t>
        </is>
      </c>
      <c r="D12" s="23" t="inlineStr">
        <is>
          <t>Searched (live API)</t>
        </is>
      </c>
      <c r="E12" s="21" t="n">
        <v>1</v>
      </c>
      <c r="F12" s="24" t="inlineStr">
        <is>
          <t>Workday API (mckesson.wd3/External_Careers)</t>
        </is>
      </c>
      <c r="G12" s="25" t="inlineStr">
        <is>
          <t>Careers site</t>
        </is>
      </c>
    </row>
    <row r="13">
      <c r="A13" s="21" t="n">
        <v>9</v>
      </c>
      <c r="B13" s="22" t="inlineStr">
        <is>
          <t>Fortune 1-100</t>
        </is>
      </c>
      <c r="C13" s="22" t="inlineStr">
        <is>
          <t>Exxon Mobil</t>
        </is>
      </c>
      <c r="D13" s="26" t="inlineStr">
        <is>
          <t>Not searched - no API</t>
        </is>
      </c>
      <c r="E13" s="21" t="inlineStr">
        <is>
          <t>not searched</t>
        </is>
      </c>
      <c r="F13" s="24" t="inlineStr">
        <is>
          <t>SuccessFactors (auth required)</t>
        </is>
      </c>
      <c r="G13" s="25" t="inlineStr">
        <is>
          <t>Careers site</t>
        </is>
      </c>
    </row>
    <row r="14">
      <c r="A14" s="21" t="n">
        <v>10</v>
      </c>
      <c r="B14" s="22" t="inlineStr">
        <is>
          <t>Fortune 1-100</t>
        </is>
      </c>
      <c r="C14" s="22" t="inlineStr">
        <is>
          <t>Cencora</t>
        </is>
      </c>
      <c r="D14" s="23" t="inlineStr">
        <is>
          <t>Searched (live API)</t>
        </is>
      </c>
      <c r="E14" s="21" t="n">
        <v>0</v>
      </c>
      <c r="F14" s="24" t="inlineStr">
        <is>
          <t>Workday API (myhrabc.wd5/Global)</t>
        </is>
      </c>
      <c r="G14" s="25" t="inlineStr">
        <is>
          <t>Careers site</t>
        </is>
      </c>
    </row>
    <row r="15">
      <c r="A15" s="21" t="n">
        <v>11</v>
      </c>
      <c r="B15" s="22" t="inlineStr">
        <is>
          <t>Fortune 1-100</t>
        </is>
      </c>
      <c r="C15" s="22" t="inlineStr">
        <is>
          <t>Microsoft</t>
        </is>
      </c>
      <c r="D15" s="27" t="inlineStr">
        <is>
          <t>Not searched - blocked</t>
        </is>
      </c>
      <c r="E15" s="21" t="inlineStr">
        <is>
          <t>not searched</t>
        </is>
      </c>
      <c r="F15" s="24" t="inlineStr">
        <is>
          <t>TLS/egress policy blocked the careers API host</t>
        </is>
      </c>
      <c r="G15" s="25" t="inlineStr">
        <is>
          <t>Careers site</t>
        </is>
      </c>
    </row>
    <row r="16">
      <c r="A16" s="21" t="n">
        <v>12</v>
      </c>
      <c r="B16" s="22" t="inlineStr">
        <is>
          <t>Fortune 1-100</t>
        </is>
      </c>
      <c r="C16" s="22" t="inlineStr">
        <is>
          <t>JPMorgan Chase</t>
        </is>
      </c>
      <c r="D16" s="23" t="inlineStr">
        <is>
          <t>Searched (live API)</t>
        </is>
      </c>
      <c r="E16" s="21" t="n">
        <v>3</v>
      </c>
      <c r="F16" s="24" t="inlineStr">
        <is>
          <t>Oracle Cloud recruiting API (jpmc)</t>
        </is>
      </c>
      <c r="G16" s="25" t="inlineStr">
        <is>
          <t>Careers site</t>
        </is>
      </c>
    </row>
    <row r="17">
      <c r="A17" s="21" t="n">
        <v>13</v>
      </c>
      <c r="B17" s="22" t="inlineStr">
        <is>
          <t>Fortune 1-100</t>
        </is>
      </c>
      <c r="C17" s="22" t="inlineStr">
        <is>
          <t>Costco Wholesale</t>
        </is>
      </c>
      <c r="D17" s="23" t="inlineStr">
        <is>
          <t>Searched (live API)</t>
        </is>
      </c>
      <c r="E17" s="21" t="n">
        <v>0</v>
      </c>
      <c r="F17" s="24" t="inlineStr">
        <is>
          <t>Phenom jobs API (careers.costco.com)</t>
        </is>
      </c>
      <c r="G17" s="25" t="inlineStr">
        <is>
          <t>Careers site</t>
        </is>
      </c>
    </row>
    <row r="18">
      <c r="A18" s="21" t="n">
        <v>14</v>
      </c>
      <c r="B18" s="22" t="inlineStr">
        <is>
          <t>Fortune 1-100</t>
        </is>
      </c>
      <c r="C18" s="22" t="inlineStr">
        <is>
          <t>Cigna Group</t>
        </is>
      </c>
      <c r="D18" s="23" t="inlineStr">
        <is>
          <t>Searched (live API)</t>
        </is>
      </c>
      <c r="E18" s="21" t="n">
        <v>0</v>
      </c>
      <c r="F18" s="24" t="inlineStr">
        <is>
          <t>Workday API (cigna.wd5/cignacareers)</t>
        </is>
      </c>
      <c r="G18" s="25" t="inlineStr">
        <is>
          <t>Careers site</t>
        </is>
      </c>
    </row>
    <row r="19">
      <c r="A19" s="21" t="n">
        <v>15</v>
      </c>
      <c r="B19" s="22" t="inlineStr">
        <is>
          <t>Fortune 1-100</t>
        </is>
      </c>
      <c r="C19" s="22" t="inlineStr">
        <is>
          <t>Cardinal Health</t>
        </is>
      </c>
      <c r="D19" s="23" t="inlineStr">
        <is>
          <t>Searched (live API)</t>
        </is>
      </c>
      <c r="E19" s="21" t="n">
        <v>6</v>
      </c>
      <c r="F19" s="24" t="inlineStr">
        <is>
          <t>Workday API (cardinalhealth.wd1/EXT)</t>
        </is>
      </c>
      <c r="G19" s="25" t="inlineStr">
        <is>
          <t>Careers site</t>
        </is>
      </c>
    </row>
    <row r="20">
      <c r="A20" s="21" t="n">
        <v>16</v>
      </c>
      <c r="B20" s="22" t="inlineStr">
        <is>
          <t>Fortune 1-100</t>
        </is>
      </c>
      <c r="C20" s="22" t="inlineStr">
        <is>
          <t>Nvidia</t>
        </is>
      </c>
      <c r="D20" s="23" t="inlineStr">
        <is>
          <t>Searched (live API)</t>
        </is>
      </c>
      <c r="E20" s="21" t="n">
        <v>0</v>
      </c>
      <c r="F20" s="24" t="inlineStr">
        <is>
          <t>Workday API (nvidia.wd5/NVIDIAExternalCareerSite)</t>
        </is>
      </c>
      <c r="G20" s="25" t="inlineStr">
        <is>
          <t>Careers site</t>
        </is>
      </c>
    </row>
    <row r="21">
      <c r="A21" s="21" t="n">
        <v>17</v>
      </c>
      <c r="B21" s="22" t="inlineStr">
        <is>
          <t>Fortune 1-100</t>
        </is>
      </c>
      <c r="C21" s="22" t="inlineStr">
        <is>
          <t>Meta Platforms</t>
        </is>
      </c>
      <c r="D21" s="27" t="inlineStr">
        <is>
          <t>Not searched - blocked</t>
        </is>
      </c>
      <c r="E21" s="21" t="inlineStr">
        <is>
          <t>not searched</t>
        </is>
      </c>
      <c r="F21" s="24" t="inlineStr">
        <is>
          <t>GraphQL endpoint requires signed doc_id</t>
        </is>
      </c>
      <c r="G21" s="25" t="inlineStr">
        <is>
          <t>Careers site</t>
        </is>
      </c>
    </row>
    <row r="22">
      <c r="A22" s="21" t="n">
        <v>18</v>
      </c>
      <c r="B22" s="22" t="inlineStr">
        <is>
          <t>Fortune 1-100</t>
        </is>
      </c>
      <c r="C22" s="22" t="inlineStr">
        <is>
          <t>Elevance Health</t>
        </is>
      </c>
      <c r="D22" s="23" t="inlineStr">
        <is>
          <t>Searched (live API)</t>
        </is>
      </c>
      <c r="E22" s="21" t="n">
        <v>4</v>
      </c>
      <c r="F22" s="24" t="inlineStr">
        <is>
          <t>Workday API (elevancehealth.wd1/ANT)</t>
        </is>
      </c>
      <c r="G22" s="25" t="inlineStr">
        <is>
          <t>Careers site</t>
        </is>
      </c>
    </row>
    <row r="23">
      <c r="A23" s="21" t="n">
        <v>19</v>
      </c>
      <c r="B23" s="22" t="inlineStr">
        <is>
          <t>Fortune 1-100</t>
        </is>
      </c>
      <c r="C23" s="22" t="inlineStr">
        <is>
          <t>Centene</t>
        </is>
      </c>
      <c r="D23" s="23" t="inlineStr">
        <is>
          <t>Searched (live API)</t>
        </is>
      </c>
      <c r="E23" s="21" t="n">
        <v>1</v>
      </c>
      <c r="F23" s="24" t="inlineStr">
        <is>
          <t>Workday API (centene.wd5/Centene_External)</t>
        </is>
      </c>
      <c r="G23" s="25" t="inlineStr">
        <is>
          <t>Careers site</t>
        </is>
      </c>
    </row>
    <row r="24">
      <c r="A24" s="21" t="n">
        <v>20</v>
      </c>
      <c r="B24" s="22" t="inlineStr">
        <is>
          <t>Fortune 1-100</t>
        </is>
      </c>
      <c r="C24" s="22" t="inlineStr">
        <is>
          <t>Bank of America</t>
        </is>
      </c>
      <c r="D24" s="26" t="inlineStr">
        <is>
          <t>Not searched - no API</t>
        </is>
      </c>
      <c r="E24" s="21" t="inlineStr">
        <is>
          <t>not searched</t>
        </is>
      </c>
      <c r="F24" s="24" t="inlineStr">
        <is>
          <t>Avature / Workday (no open site slug)</t>
        </is>
      </c>
      <c r="G24" s="25" t="inlineStr">
        <is>
          <t>Careers site</t>
        </is>
      </c>
    </row>
    <row r="25">
      <c r="A25" s="21" t="n">
        <v>21</v>
      </c>
      <c r="B25" s="22" t="inlineStr">
        <is>
          <t>Fortune 1-100</t>
        </is>
      </c>
      <c r="C25" s="22" t="inlineStr">
        <is>
          <t>Chevron</t>
        </is>
      </c>
      <c r="D25" s="23" t="inlineStr">
        <is>
          <t>Searched (live API)</t>
        </is>
      </c>
      <c r="E25" s="21" t="n">
        <v>0</v>
      </c>
      <c r="F25" s="24" t="inlineStr">
        <is>
          <t>Workday API (chevron.wd5/jobs)</t>
        </is>
      </c>
      <c r="G25" s="25" t="inlineStr">
        <is>
          <t>Careers site</t>
        </is>
      </c>
    </row>
    <row r="26">
      <c r="A26" s="21" t="n">
        <v>22</v>
      </c>
      <c r="B26" s="22" t="inlineStr">
        <is>
          <t>Fortune 1-100</t>
        </is>
      </c>
      <c r="C26" s="22" t="inlineStr">
        <is>
          <t>Ford Motor</t>
        </is>
      </c>
      <c r="D26" s="26" t="inlineStr">
        <is>
          <t>Not searched - no API</t>
        </is>
      </c>
      <c r="E26" s="21" t="inlineStr">
        <is>
          <t>not searched</t>
        </is>
      </c>
      <c r="F26" s="24" t="inlineStr">
        <is>
          <t>Radancy (HTML only)</t>
        </is>
      </c>
      <c r="G26" s="25" t="inlineStr">
        <is>
          <t>Careers site</t>
        </is>
      </c>
    </row>
    <row r="27">
      <c r="A27" s="21" t="n">
        <v>23</v>
      </c>
      <c r="B27" s="22" t="inlineStr">
        <is>
          <t>Fortune 1-100</t>
        </is>
      </c>
      <c r="C27" s="22" t="inlineStr">
        <is>
          <t>General Motors</t>
        </is>
      </c>
      <c r="D27" s="23" t="inlineStr">
        <is>
          <t>Searched (live API)</t>
        </is>
      </c>
      <c r="E27" s="21" t="n">
        <v>1</v>
      </c>
      <c r="F27" s="24" t="inlineStr">
        <is>
          <t>Workday API (generalmotors.wd5/Careers_GM)</t>
        </is>
      </c>
      <c r="G27" s="25" t="inlineStr">
        <is>
          <t>Careers site</t>
        </is>
      </c>
    </row>
    <row r="28">
      <c r="A28" s="21" t="n">
        <v>24</v>
      </c>
      <c r="B28" s="22" t="inlineStr">
        <is>
          <t>Fortune 1-100</t>
        </is>
      </c>
      <c r="C28" s="22" t="inlineStr">
        <is>
          <t>Citigroup</t>
        </is>
      </c>
      <c r="D28" s="23" t="inlineStr">
        <is>
          <t>Searched (live API)</t>
        </is>
      </c>
      <c r="E28" s="21" t="n">
        <v>1</v>
      </c>
      <c r="F28" s="24" t="inlineStr">
        <is>
          <t>Workday API (citi.wd5/2)</t>
        </is>
      </c>
      <c r="G28" s="25" t="inlineStr">
        <is>
          <t>Careers site</t>
        </is>
      </c>
    </row>
    <row r="29">
      <c r="A29" s="21" t="n">
        <v>25</v>
      </c>
      <c r="B29" s="22" t="inlineStr">
        <is>
          <t>Fortune 1-100</t>
        </is>
      </c>
      <c r="C29" s="22" t="inlineStr">
        <is>
          <t>Home Depot</t>
        </is>
      </c>
      <c r="D29" s="23" t="inlineStr">
        <is>
          <t>Searched (live API)</t>
        </is>
      </c>
      <c r="E29" s="21" t="n">
        <v>0</v>
      </c>
      <c r="F29" s="24" t="inlineStr">
        <is>
          <t>Workday API (homedepot.wd5/CareerDepot)</t>
        </is>
      </c>
      <c r="G29" s="25" t="inlineStr">
        <is>
          <t>Careers site</t>
        </is>
      </c>
    </row>
    <row r="30">
      <c r="A30" s="21" t="n">
        <v>26</v>
      </c>
      <c r="B30" s="22" t="inlineStr">
        <is>
          <t>Fortune 1-100</t>
        </is>
      </c>
      <c r="C30" s="22" t="inlineStr">
        <is>
          <t>Fannie Mae</t>
        </is>
      </c>
      <c r="D30" s="23" t="inlineStr">
        <is>
          <t>Searched (live API)</t>
        </is>
      </c>
      <c r="E30" s="21" t="n">
        <v>0</v>
      </c>
      <c r="F30" s="24" t="inlineStr">
        <is>
          <t>Workday API (fanniemae.wd1/FannieMaeCareers)</t>
        </is>
      </c>
      <c r="G30" s="25" t="inlineStr">
        <is>
          <t>Careers site</t>
        </is>
      </c>
    </row>
    <row r="31">
      <c r="A31" s="21" t="n">
        <v>27</v>
      </c>
      <c r="B31" s="22" t="inlineStr">
        <is>
          <t>Fortune 1-100</t>
        </is>
      </c>
      <c r="C31" s="22" t="inlineStr">
        <is>
          <t>Kroger</t>
        </is>
      </c>
      <c r="D31" s="23" t="inlineStr">
        <is>
          <t>Searched (live API)</t>
        </is>
      </c>
      <c r="E31" s="21" t="n">
        <v>0</v>
      </c>
      <c r="F31" s="24" t="inlineStr">
        <is>
          <t>Oracle Cloud recruiting API (eluq)</t>
        </is>
      </c>
      <c r="G31" s="25" t="inlineStr">
        <is>
          <t>Careers site</t>
        </is>
      </c>
    </row>
    <row r="32">
      <c r="A32" s="21" t="n">
        <v>28</v>
      </c>
      <c r="B32" s="22" t="inlineStr">
        <is>
          <t>Fortune 1-100</t>
        </is>
      </c>
      <c r="C32" s="22" t="inlineStr">
        <is>
          <t>Verizon Communications</t>
        </is>
      </c>
      <c r="D32" s="23" t="inlineStr">
        <is>
          <t>Searched (live API)</t>
        </is>
      </c>
      <c r="E32" s="21" t="n">
        <v>0</v>
      </c>
      <c r="F32" s="24" t="inlineStr">
        <is>
          <t>Workday API (verizon.wd5/verizon-careers)</t>
        </is>
      </c>
      <c r="G32" s="25" t="inlineStr">
        <is>
          <t>Careers site</t>
        </is>
      </c>
    </row>
    <row r="33">
      <c r="A33" s="21" t="n">
        <v>29</v>
      </c>
      <c r="B33" s="22" t="inlineStr">
        <is>
          <t>Fortune 1-100</t>
        </is>
      </c>
      <c r="C33" s="22" t="inlineStr">
        <is>
          <t>Phillips 66</t>
        </is>
      </c>
      <c r="D33" s="26" t="inlineStr">
        <is>
          <t>Not searched - no API</t>
        </is>
      </c>
      <c r="E33" s="21" t="inlineStr">
        <is>
          <t>not searched</t>
        </is>
      </c>
      <c r="F33" s="24" t="inlineStr">
        <is>
          <t>SuccessFactors (auth required)</t>
        </is>
      </c>
      <c r="G33" s="25" t="inlineStr">
        <is>
          <t>Careers site</t>
        </is>
      </c>
    </row>
    <row r="34">
      <c r="A34" s="21" t="n">
        <v>30</v>
      </c>
      <c r="B34" s="22" t="inlineStr">
        <is>
          <t>Fortune 1-100</t>
        </is>
      </c>
      <c r="C34" s="22" t="inlineStr">
        <is>
          <t>Marathon Petroleum</t>
        </is>
      </c>
      <c r="D34" s="23" t="inlineStr">
        <is>
          <t>Searched (live API)</t>
        </is>
      </c>
      <c r="E34" s="21" t="n">
        <v>2</v>
      </c>
      <c r="F34" s="24" t="inlineStr">
        <is>
          <t>Workday API (mpc.wd1/MPCCareers)</t>
        </is>
      </c>
      <c r="G34" s="25" t="inlineStr">
        <is>
          <t>Careers site</t>
        </is>
      </c>
    </row>
    <row r="35">
      <c r="A35" s="21" t="n">
        <v>31</v>
      </c>
      <c r="B35" s="22" t="inlineStr">
        <is>
          <t>Fortune 1-100</t>
        </is>
      </c>
      <c r="C35" s="22" t="inlineStr">
        <is>
          <t>StoneX Group</t>
        </is>
      </c>
      <c r="D35" s="26" t="inlineStr">
        <is>
          <t>Not searched - no API</t>
        </is>
      </c>
      <c r="E35" s="21" t="inlineStr">
        <is>
          <t>not searched</t>
        </is>
      </c>
      <c r="F35" s="24" t="inlineStr">
        <is>
          <t>No public JSON endpoint found</t>
        </is>
      </c>
      <c r="G35" s="25" t="inlineStr">
        <is>
          <t>Careers site</t>
        </is>
      </c>
    </row>
    <row r="36">
      <c r="A36" s="21" t="n">
        <v>32</v>
      </c>
      <c r="B36" s="22" t="inlineStr">
        <is>
          <t>Fortune 1-100</t>
        </is>
      </c>
      <c r="C36" s="22" t="inlineStr">
        <is>
          <t>State Farm Insurance</t>
        </is>
      </c>
      <c r="D36" s="23" t="inlineStr">
        <is>
          <t>Searched (live API)</t>
        </is>
      </c>
      <c r="E36" s="21" t="n">
        <v>0</v>
      </c>
      <c r="F36" s="24" t="inlineStr">
        <is>
          <t>Phenom jobs API (jobs.statefarm.com)</t>
        </is>
      </c>
      <c r="G36" s="25" t="inlineStr">
        <is>
          <t>Careers site</t>
        </is>
      </c>
    </row>
    <row r="37">
      <c r="A37" s="21" t="n">
        <v>33</v>
      </c>
      <c r="B37" s="22" t="inlineStr">
        <is>
          <t>Fortune 1-100</t>
        </is>
      </c>
      <c r="C37" s="22" t="inlineStr">
        <is>
          <t>Freddie Mac</t>
        </is>
      </c>
      <c r="D37" s="23" t="inlineStr">
        <is>
          <t>Searched (live API)</t>
        </is>
      </c>
      <c r="E37" s="21" t="n">
        <v>1</v>
      </c>
      <c r="F37" s="24" t="inlineStr">
        <is>
          <t>Workday API (freddiemac.wd5/External)</t>
        </is>
      </c>
      <c r="G37" s="25" t="inlineStr">
        <is>
          <t>Careers site</t>
        </is>
      </c>
    </row>
    <row r="38">
      <c r="A38" s="21" t="n">
        <v>34</v>
      </c>
      <c r="B38" s="22" t="inlineStr">
        <is>
          <t>Fortune 1-100</t>
        </is>
      </c>
      <c r="C38" s="22" t="inlineStr">
        <is>
          <t>Humana</t>
        </is>
      </c>
      <c r="D38" s="23" t="inlineStr">
        <is>
          <t>Searched (live API)</t>
        </is>
      </c>
      <c r="E38" s="21" t="n">
        <v>1</v>
      </c>
      <c r="F38" s="24" t="inlineStr">
        <is>
          <t>Workday API (humana.wd5/Humana_External_Career_Site)</t>
        </is>
      </c>
      <c r="G38" s="25" t="inlineStr">
        <is>
          <t>Careers site</t>
        </is>
      </c>
    </row>
    <row r="39">
      <c r="A39" s="21" t="n">
        <v>35</v>
      </c>
      <c r="B39" s="22" t="inlineStr">
        <is>
          <t>Fortune 1-100</t>
        </is>
      </c>
      <c r="C39" s="22" t="inlineStr">
        <is>
          <t>AT&amp;T</t>
        </is>
      </c>
      <c r="D39" s="26" t="inlineStr">
        <is>
          <t>Not searched - no API</t>
        </is>
      </c>
      <c r="E39" s="21" t="inlineStr">
        <is>
          <t>not searched</t>
        </is>
      </c>
      <c r="F39" s="24" t="inlineStr">
        <is>
          <t>Radancy / Workday (no open site slug)</t>
        </is>
      </c>
      <c r="G39" s="25" t="inlineStr">
        <is>
          <t>Careers site</t>
        </is>
      </c>
    </row>
    <row r="40">
      <c r="A40" s="21" t="n">
        <v>36</v>
      </c>
      <c r="B40" s="22" t="inlineStr">
        <is>
          <t>Fortune 1-100</t>
        </is>
      </c>
      <c r="C40" s="22" t="inlineStr">
        <is>
          <t>Goldman Sachs Group</t>
        </is>
      </c>
      <c r="D40" s="26" t="inlineStr">
        <is>
          <t>Not searched - no API</t>
        </is>
      </c>
      <c r="E40" s="21" t="inlineStr">
        <is>
          <t>not searched</t>
        </is>
      </c>
      <c r="F40" s="24" t="inlineStr">
        <is>
          <t>Custom SPA (no open endpoint)</t>
        </is>
      </c>
      <c r="G40" s="25" t="inlineStr">
        <is>
          <t>Careers site</t>
        </is>
      </c>
    </row>
    <row r="41">
      <c r="A41" s="21" t="n">
        <v>37</v>
      </c>
      <c r="B41" s="22" t="inlineStr">
        <is>
          <t>Fortune 1-100</t>
        </is>
      </c>
      <c r="C41" s="22" t="inlineStr">
        <is>
          <t>Comcast</t>
        </is>
      </c>
      <c r="D41" s="23" t="inlineStr">
        <is>
          <t>Searched (live API)</t>
        </is>
      </c>
      <c r="E41" s="21" t="n">
        <v>0</v>
      </c>
      <c r="F41" s="24" t="inlineStr">
        <is>
          <t>Workday API (comcast.wd5/Comcast_Careers)</t>
        </is>
      </c>
      <c r="G41" s="25" t="inlineStr">
        <is>
          <t>Careers site</t>
        </is>
      </c>
    </row>
    <row r="42">
      <c r="A42" s="21" t="n">
        <v>38</v>
      </c>
      <c r="B42" s="22" t="inlineStr">
        <is>
          <t>Fortune 1-100</t>
        </is>
      </c>
      <c r="C42" s="22" t="inlineStr">
        <is>
          <t>Wells Fargo</t>
        </is>
      </c>
      <c r="D42" s="23" t="inlineStr">
        <is>
          <t>Searched (live API)</t>
        </is>
      </c>
      <c r="E42" s="21" t="n">
        <v>0</v>
      </c>
      <c r="F42" s="24" t="inlineStr">
        <is>
          <t>Workday API (wf.wd1/WellsFargoJobs)</t>
        </is>
      </c>
      <c r="G42" s="25" t="inlineStr">
        <is>
          <t>Careers site</t>
        </is>
      </c>
    </row>
    <row r="43">
      <c r="A43" s="21" t="n">
        <v>39</v>
      </c>
      <c r="B43" s="22" t="inlineStr">
        <is>
          <t>Fortune 1-100</t>
        </is>
      </c>
      <c r="C43" s="22" t="inlineStr">
        <is>
          <t>Morgan Stanley</t>
        </is>
      </c>
      <c r="D43" s="23" t="inlineStr">
        <is>
          <t>Searched (live API)</t>
        </is>
      </c>
      <c r="E43" s="21" t="n">
        <v>2</v>
      </c>
      <c r="F43" s="24" t="inlineStr">
        <is>
          <t>Workday API (ms.wd5/External)</t>
        </is>
      </c>
      <c r="G43" s="25" t="inlineStr">
        <is>
          <t>Careers site</t>
        </is>
      </c>
    </row>
    <row r="44">
      <c r="A44" s="21" t="n">
        <v>40</v>
      </c>
      <c r="B44" s="22" t="inlineStr">
        <is>
          <t>Fortune 1-100</t>
        </is>
      </c>
      <c r="C44" s="22" t="inlineStr">
        <is>
          <t>Valero Energy</t>
        </is>
      </c>
      <c r="D44" s="26" t="inlineStr">
        <is>
          <t>Not searched - no API</t>
        </is>
      </c>
      <c r="E44" s="21" t="inlineStr">
        <is>
          <t>not searched</t>
        </is>
      </c>
      <c r="F44" s="24" t="inlineStr">
        <is>
          <t>No public JSON endpoint found</t>
        </is>
      </c>
      <c r="G44" s="25" t="inlineStr">
        <is>
          <t>Careers site</t>
        </is>
      </c>
    </row>
    <row r="45">
      <c r="A45" s="21" t="n">
        <v>41</v>
      </c>
      <c r="B45" s="22" t="inlineStr">
        <is>
          <t>Fortune 1-100</t>
        </is>
      </c>
      <c r="C45" s="22" t="inlineStr">
        <is>
          <t>Dell Technologies</t>
        </is>
      </c>
      <c r="D45" s="23" t="inlineStr">
        <is>
          <t>Searched (live API)</t>
        </is>
      </c>
      <c r="E45" s="21" t="n">
        <v>0</v>
      </c>
      <c r="F45" s="24" t="inlineStr">
        <is>
          <t>Workday API (dell.wd1/External)</t>
        </is>
      </c>
      <c r="G45" s="25" t="inlineStr">
        <is>
          <t>Careers site</t>
        </is>
      </c>
    </row>
    <row r="46">
      <c r="A46" s="21" t="n">
        <v>42</v>
      </c>
      <c r="B46" s="22" t="inlineStr">
        <is>
          <t>Fortune 1-100</t>
        </is>
      </c>
      <c r="C46" s="22" t="inlineStr">
        <is>
          <t>Target</t>
        </is>
      </c>
      <c r="D46" s="23" t="inlineStr">
        <is>
          <t>Searched (live API)</t>
        </is>
      </c>
      <c r="E46" s="21" t="n">
        <v>1</v>
      </c>
      <c r="F46" s="24" t="inlineStr">
        <is>
          <t>Workday API (target.wd5/targetcareers)</t>
        </is>
      </c>
      <c r="G46" s="25" t="inlineStr">
        <is>
          <t>Careers site</t>
        </is>
      </c>
    </row>
    <row r="47">
      <c r="A47" s="21" t="n">
        <v>43</v>
      </c>
      <c r="B47" s="22" t="inlineStr">
        <is>
          <t>Fortune 1-100</t>
        </is>
      </c>
      <c r="C47" s="22" t="inlineStr">
        <is>
          <t>Tesla</t>
        </is>
      </c>
      <c r="D47" s="27" t="inlineStr">
        <is>
          <t>Not searched - blocked</t>
        </is>
      </c>
      <c r="E47" s="21" t="inlineStr">
        <is>
          <t>not searched</t>
        </is>
      </c>
      <c r="F47" s="24" t="inlineStr">
        <is>
          <t>Careers API blocked by bot protection (Akamai)</t>
        </is>
      </c>
      <c r="G47" s="25" t="inlineStr">
        <is>
          <t>Careers site</t>
        </is>
      </c>
    </row>
    <row r="48">
      <c r="A48" s="21" t="n">
        <v>44</v>
      </c>
      <c r="B48" s="22" t="inlineStr">
        <is>
          <t>Fortune 1-100</t>
        </is>
      </c>
      <c r="C48" s="22" t="inlineStr">
        <is>
          <t>Walt Disney</t>
        </is>
      </c>
      <c r="D48" s="23" t="inlineStr">
        <is>
          <t>Searched (live API)</t>
        </is>
      </c>
      <c r="E48" s="21" t="n">
        <v>1</v>
      </c>
      <c r="F48" s="24" t="inlineStr">
        <is>
          <t>Workday API (disney.wd5/disneycareer)</t>
        </is>
      </c>
      <c r="G48" s="25" t="inlineStr">
        <is>
          <t>Careers site</t>
        </is>
      </c>
    </row>
    <row r="49">
      <c r="A49" s="21" t="n">
        <v>45</v>
      </c>
      <c r="B49" s="22" t="inlineStr">
        <is>
          <t>Fortune 1-100</t>
        </is>
      </c>
      <c r="C49" s="22" t="inlineStr">
        <is>
          <t>Johnson &amp; Johnson</t>
        </is>
      </c>
      <c r="D49" s="23" t="inlineStr">
        <is>
          <t>Searched (live API)</t>
        </is>
      </c>
      <c r="E49" s="21" t="n">
        <v>0</v>
      </c>
      <c r="F49" s="24" t="inlineStr">
        <is>
          <t>Workday API (jj.wd5/JJ)</t>
        </is>
      </c>
      <c r="G49" s="25" t="inlineStr">
        <is>
          <t>Careers site</t>
        </is>
      </c>
    </row>
    <row r="50">
      <c r="A50" s="21" t="n">
        <v>46</v>
      </c>
      <c r="B50" s="22" t="inlineStr">
        <is>
          <t>Fortune 1-100</t>
        </is>
      </c>
      <c r="C50" s="22" t="inlineStr">
        <is>
          <t>PepsiCo</t>
        </is>
      </c>
      <c r="D50" s="23" t="inlineStr">
        <is>
          <t>Searched (live API)</t>
        </is>
      </c>
      <c r="E50" s="21" t="n">
        <v>0</v>
      </c>
      <c r="F50" s="24" t="inlineStr">
        <is>
          <t>Phenom jobs API (pepsicojobs.com)</t>
        </is>
      </c>
      <c r="G50" s="25" t="inlineStr">
        <is>
          <t>Careers site</t>
        </is>
      </c>
    </row>
    <row r="51">
      <c r="A51" s="21" t="n">
        <v>47</v>
      </c>
      <c r="B51" s="22" t="inlineStr">
        <is>
          <t>Fortune 1-100</t>
        </is>
      </c>
      <c r="C51" s="22" t="inlineStr">
        <is>
          <t>Boeing</t>
        </is>
      </c>
      <c r="D51" s="23" t="inlineStr">
        <is>
          <t>Searched (live API)</t>
        </is>
      </c>
      <c r="E51" s="21" t="n">
        <v>0</v>
      </c>
      <c r="F51" s="24" t="inlineStr">
        <is>
          <t>Workday API (boeing.wd1/EXTERNAL_CAREERS)</t>
        </is>
      </c>
      <c r="G51" s="25" t="inlineStr">
        <is>
          <t>Careers site</t>
        </is>
      </c>
    </row>
    <row r="52">
      <c r="A52" s="21" t="n">
        <v>48</v>
      </c>
      <c r="B52" s="22" t="inlineStr">
        <is>
          <t>Fortune 1-100</t>
        </is>
      </c>
      <c r="C52" s="22" t="inlineStr">
        <is>
          <t>UPS</t>
        </is>
      </c>
      <c r="D52" s="23" t="inlineStr">
        <is>
          <t>Searched (live API)</t>
        </is>
      </c>
      <c r="E52" s="21" t="n">
        <v>1</v>
      </c>
      <c r="F52" s="24" t="inlineStr">
        <is>
          <t>Workday API (hcmportal.wd5/Search)</t>
        </is>
      </c>
      <c r="G52" s="25" t="inlineStr">
        <is>
          <t>Careers site</t>
        </is>
      </c>
    </row>
    <row r="53">
      <c r="A53" s="21" t="n">
        <v>49</v>
      </c>
      <c r="B53" s="22" t="inlineStr">
        <is>
          <t>Fortune 1-100</t>
        </is>
      </c>
      <c r="C53" s="22" t="inlineStr">
        <is>
          <t>RTX</t>
        </is>
      </c>
      <c r="D53" s="23" t="inlineStr">
        <is>
          <t>Searched (live API)</t>
        </is>
      </c>
      <c r="E53" s="21" t="n">
        <v>2</v>
      </c>
      <c r="F53" s="24" t="inlineStr">
        <is>
          <t>Workday API (globalhr.wd5/REC_RTX_Ext_Gateway)</t>
        </is>
      </c>
      <c r="G53" s="25" t="inlineStr">
        <is>
          <t>Careers site</t>
        </is>
      </c>
    </row>
    <row r="54">
      <c r="A54" s="21" t="n">
        <v>50</v>
      </c>
      <c r="B54" s="22" t="inlineStr">
        <is>
          <t>Fortune 1-100</t>
        </is>
      </c>
      <c r="C54" s="22" t="inlineStr">
        <is>
          <t>FedEx</t>
        </is>
      </c>
      <c r="D54" s="23" t="inlineStr">
        <is>
          <t>Searched (live API)</t>
        </is>
      </c>
      <c r="E54" s="21" t="n">
        <v>0</v>
      </c>
      <c r="F54" s="24" t="inlineStr">
        <is>
          <t>Workday API (fedex.wd1/FDW_External_Career_Site)</t>
        </is>
      </c>
      <c r="G54" s="25" t="inlineStr">
        <is>
          <t>Careers site</t>
        </is>
      </c>
    </row>
    <row r="55">
      <c r="A55" s="21" t="n">
        <v>51</v>
      </c>
      <c r="B55" s="22" t="inlineStr">
        <is>
          <t>Fortune 1-100</t>
        </is>
      </c>
      <c r="C55" s="22" t="inlineStr">
        <is>
          <t>Progressive</t>
        </is>
      </c>
      <c r="D55" s="27" t="inlineStr">
        <is>
          <t>Not searched - blocked</t>
        </is>
      </c>
      <c r="E55" s="21" t="inlineStr">
        <is>
          <t>not searched</t>
        </is>
      </c>
      <c r="F55" s="24" t="inlineStr">
        <is>
          <t>Careers site returns 403 to non-browser clients</t>
        </is>
      </c>
      <c r="G55" s="25" t="inlineStr">
        <is>
          <t>Careers site</t>
        </is>
      </c>
    </row>
    <row r="56">
      <c r="A56" s="21" t="n">
        <v>52</v>
      </c>
      <c r="B56" s="22" t="inlineStr">
        <is>
          <t>Fortune 1-100</t>
        </is>
      </c>
      <c r="C56" s="22" t="inlineStr">
        <is>
          <t>Lowe's</t>
        </is>
      </c>
      <c r="D56" s="23" t="inlineStr">
        <is>
          <t>Searched (live API)</t>
        </is>
      </c>
      <c r="E56" s="21" t="n">
        <v>0</v>
      </c>
      <c r="F56" s="24" t="inlineStr">
        <is>
          <t>Workday API (lowes.wd5/LWS_External_CS)</t>
        </is>
      </c>
      <c r="G56" s="25" t="inlineStr">
        <is>
          <t>Careers site</t>
        </is>
      </c>
    </row>
    <row r="57">
      <c r="A57" s="21" t="n">
        <v>53</v>
      </c>
      <c r="B57" s="22" t="inlineStr">
        <is>
          <t>Fortune 1-100</t>
        </is>
      </c>
      <c r="C57" s="22" t="inlineStr">
        <is>
          <t>Energy Transfer</t>
        </is>
      </c>
      <c r="D57" s="26" t="inlineStr">
        <is>
          <t>Not searched - no API</t>
        </is>
      </c>
      <c r="E57" s="21" t="inlineStr">
        <is>
          <t>not searched</t>
        </is>
      </c>
      <c r="F57" s="24" t="inlineStr">
        <is>
          <t>No public JSON endpoint found</t>
        </is>
      </c>
      <c r="G57" s="25" t="inlineStr">
        <is>
          <t>Careers site</t>
        </is>
      </c>
    </row>
    <row r="58">
      <c r="A58" s="21" t="n">
        <v>54</v>
      </c>
      <c r="B58" s="22" t="inlineStr">
        <is>
          <t>Fortune 1-100</t>
        </is>
      </c>
      <c r="C58" s="22" t="inlineStr">
        <is>
          <t>Procter &amp; Gamble</t>
        </is>
      </c>
      <c r="D58" s="23" t="inlineStr">
        <is>
          <t>Searched (live API)</t>
        </is>
      </c>
      <c r="E58" s="21" t="n">
        <v>0</v>
      </c>
      <c r="F58" s="24" t="inlineStr">
        <is>
          <t>Workday API (pg.wd5/1000)</t>
        </is>
      </c>
      <c r="G58" s="25" t="inlineStr">
        <is>
          <t>Careers site</t>
        </is>
      </c>
    </row>
    <row r="59">
      <c r="A59" s="21" t="n">
        <v>55</v>
      </c>
      <c r="B59" s="22" t="inlineStr">
        <is>
          <t>Fortune 1-100</t>
        </is>
      </c>
      <c r="C59" s="22" t="inlineStr">
        <is>
          <t>Sysco</t>
        </is>
      </c>
      <c r="D59" s="23" t="inlineStr">
        <is>
          <t>Searched (live API)</t>
        </is>
      </c>
      <c r="E59" s="21" t="n">
        <v>0</v>
      </c>
      <c r="F59" s="24" t="inlineStr">
        <is>
          <t>Workday API (sysco.wd5/syscocareers)</t>
        </is>
      </c>
      <c r="G59" s="25" t="inlineStr">
        <is>
          <t>Careers site</t>
        </is>
      </c>
    </row>
    <row r="60">
      <c r="A60" s="21" t="n">
        <v>56</v>
      </c>
      <c r="B60" s="22" t="inlineStr">
        <is>
          <t>Fortune 1-100</t>
        </is>
      </c>
      <c r="C60" s="22" t="inlineStr">
        <is>
          <t>American Express</t>
        </is>
      </c>
      <c r="D60" s="23" t="inlineStr">
        <is>
          <t>Searched (live API)</t>
        </is>
      </c>
      <c r="E60" s="21" t="n">
        <v>0</v>
      </c>
      <c r="F60" s="24" t="inlineStr">
        <is>
          <t>Oracle Cloud recruiting API (egug)</t>
        </is>
      </c>
      <c r="G60" s="25" t="inlineStr">
        <is>
          <t>Careers site</t>
        </is>
      </c>
    </row>
    <row r="61">
      <c r="A61" s="21" t="n">
        <v>57</v>
      </c>
      <c r="B61" s="22" t="inlineStr">
        <is>
          <t>Fortune 1-100</t>
        </is>
      </c>
      <c r="C61" s="22" t="inlineStr">
        <is>
          <t>Albertsons</t>
        </is>
      </c>
      <c r="D61" s="23" t="inlineStr">
        <is>
          <t>Searched (live API)</t>
        </is>
      </c>
      <c r="E61" s="21" t="n">
        <v>1</v>
      </c>
      <c r="F61" s="24" t="inlineStr">
        <is>
          <t>Oracle Cloud recruiting API (eofd)</t>
        </is>
      </c>
      <c r="G61" s="25" t="inlineStr">
        <is>
          <t>Careers site</t>
        </is>
      </c>
    </row>
    <row r="62">
      <c r="A62" s="21" t="n">
        <v>58</v>
      </c>
      <c r="B62" s="22" t="inlineStr">
        <is>
          <t>Fortune 1-100</t>
        </is>
      </c>
      <c r="C62" s="22" t="inlineStr">
        <is>
          <t>Archer Daniels Midland</t>
        </is>
      </c>
      <c r="D62" s="26" t="inlineStr">
        <is>
          <t>Not searched - no API</t>
        </is>
      </c>
      <c r="E62" s="21" t="inlineStr">
        <is>
          <t>not searched</t>
        </is>
      </c>
      <c r="F62" s="24" t="inlineStr">
        <is>
          <t>No public JSON endpoint found</t>
        </is>
      </c>
      <c r="G62" s="25" t="inlineStr">
        <is>
          <t>Careers site</t>
        </is>
      </c>
    </row>
    <row r="63">
      <c r="A63" s="21" t="n">
        <v>59</v>
      </c>
      <c r="B63" s="22" t="inlineStr">
        <is>
          <t>Fortune 1-100</t>
        </is>
      </c>
      <c r="C63" s="22" t="inlineStr">
        <is>
          <t>MetLife</t>
        </is>
      </c>
      <c r="D63" s="26" t="inlineStr">
        <is>
          <t>Not searched - no API</t>
        </is>
      </c>
      <c r="E63" s="21" t="inlineStr">
        <is>
          <t>not searched</t>
        </is>
      </c>
      <c r="F63" s="24" t="inlineStr">
        <is>
          <t>Avature (no public API)</t>
        </is>
      </c>
      <c r="G63" s="25" t="inlineStr">
        <is>
          <t>Careers site</t>
        </is>
      </c>
    </row>
    <row r="64">
      <c r="A64" s="21" t="n">
        <v>60</v>
      </c>
      <c r="B64" s="22" t="inlineStr">
        <is>
          <t>Fortune 1-100</t>
        </is>
      </c>
      <c r="C64" s="22" t="inlineStr">
        <is>
          <t>HCA Healthcare</t>
        </is>
      </c>
      <c r="D64" s="23" t="inlineStr">
        <is>
          <t>Searched (live API)</t>
        </is>
      </c>
      <c r="E64" s="21" t="n">
        <v>0</v>
      </c>
      <c r="F64" s="24" t="inlineStr">
        <is>
          <t>Workday API (hcahealthcare.wd3/hcacareers)</t>
        </is>
      </c>
      <c r="G64" s="25" t="inlineStr">
        <is>
          <t>Careers site</t>
        </is>
      </c>
    </row>
    <row r="65">
      <c r="A65" s="21" t="n">
        <v>61</v>
      </c>
      <c r="B65" s="22" t="inlineStr">
        <is>
          <t>Fortune 1-100</t>
        </is>
      </c>
      <c r="C65" s="22" t="inlineStr">
        <is>
          <t>Lockheed Martin</t>
        </is>
      </c>
      <c r="D65" s="26" t="inlineStr">
        <is>
          <t>Not searched - no API</t>
        </is>
      </c>
      <c r="E65" s="21" t="inlineStr">
        <is>
          <t>not searched</t>
        </is>
      </c>
      <c r="F65" s="24" t="inlineStr">
        <is>
          <t>Avature (no public API)</t>
        </is>
      </c>
      <c r="G65" s="25" t="inlineStr">
        <is>
          <t>Careers site</t>
        </is>
      </c>
    </row>
    <row r="66">
      <c r="A66" s="21" t="n">
        <v>62</v>
      </c>
      <c r="B66" s="22" t="inlineStr">
        <is>
          <t>Fortune 1-100</t>
        </is>
      </c>
      <c r="C66" s="22" t="inlineStr">
        <is>
          <t>New York Life Insurance</t>
        </is>
      </c>
      <c r="D66" s="26" t="inlineStr">
        <is>
          <t>Not searched - no API</t>
        </is>
      </c>
      <c r="E66" s="21" t="inlineStr">
        <is>
          <t>not searched</t>
        </is>
      </c>
      <c r="F66" s="24" t="inlineStr">
        <is>
          <t>SuccessFactors (auth required)</t>
        </is>
      </c>
      <c r="G66" s="25" t="inlineStr">
        <is>
          <t>Careers site</t>
        </is>
      </c>
    </row>
    <row r="67">
      <c r="A67" s="21" t="n">
        <v>63</v>
      </c>
      <c r="B67" s="22" t="inlineStr">
        <is>
          <t>Fortune 1-100</t>
        </is>
      </c>
      <c r="C67" s="22" t="inlineStr">
        <is>
          <t>Capital One Financial</t>
        </is>
      </c>
      <c r="D67" s="23" t="inlineStr">
        <is>
          <t>Searched (live API)</t>
        </is>
      </c>
      <c r="E67" s="21" t="n">
        <v>10</v>
      </c>
      <c r="F67" s="24" t="inlineStr">
        <is>
          <t>Workday API (capitalone.wd12/Capital_One)</t>
        </is>
      </c>
      <c r="G67" s="25" t="inlineStr">
        <is>
          <t>Careers site</t>
        </is>
      </c>
    </row>
    <row r="68">
      <c r="A68" s="21" t="n">
        <v>64</v>
      </c>
      <c r="B68" s="22" t="inlineStr">
        <is>
          <t>Fortune 1-100</t>
        </is>
      </c>
      <c r="C68" s="22" t="inlineStr">
        <is>
          <t>Allstate</t>
        </is>
      </c>
      <c r="D68" s="23" t="inlineStr">
        <is>
          <t>Searched (live API)</t>
        </is>
      </c>
      <c r="E68" s="21" t="n">
        <v>0</v>
      </c>
      <c r="F68" s="24" t="inlineStr">
        <is>
          <t>Workday API (allstate.wd5/allstate_careers)</t>
        </is>
      </c>
      <c r="G68" s="25" t="inlineStr">
        <is>
          <t>Careers site</t>
        </is>
      </c>
    </row>
    <row r="69">
      <c r="A69" s="21" t="n">
        <v>65</v>
      </c>
      <c r="B69" s="22" t="inlineStr">
        <is>
          <t>Fortune 1-100</t>
        </is>
      </c>
      <c r="C69" s="22" t="inlineStr">
        <is>
          <t>Caterpillar</t>
        </is>
      </c>
      <c r="D69" s="23" t="inlineStr">
        <is>
          <t>Searched (live API)</t>
        </is>
      </c>
      <c r="E69" s="21" t="n">
        <v>0</v>
      </c>
      <c r="F69" s="24" t="inlineStr">
        <is>
          <t>Workday API (cat.wd5/CaterpillarCareers)</t>
        </is>
      </c>
      <c r="G69" s="25" t="inlineStr">
        <is>
          <t>Careers site</t>
        </is>
      </c>
    </row>
    <row r="70">
      <c r="A70" s="21" t="n">
        <v>66</v>
      </c>
      <c r="B70" s="22" t="inlineStr">
        <is>
          <t>Fortune 1-100</t>
        </is>
      </c>
      <c r="C70" s="22" t="inlineStr">
        <is>
          <t>IBM</t>
        </is>
      </c>
      <c r="D70" s="26" t="inlineStr">
        <is>
          <t>Not searched - no API</t>
        </is>
      </c>
      <c r="E70" s="21" t="inlineStr">
        <is>
          <t>not searched</t>
        </is>
      </c>
      <c r="F70" s="24" t="inlineStr">
        <is>
          <t>Custom SPA (no open endpoint)</t>
        </is>
      </c>
      <c r="G70" s="25" t="inlineStr">
        <is>
          <t>Careers site</t>
        </is>
      </c>
    </row>
    <row r="71">
      <c r="A71" s="21" t="n">
        <v>67</v>
      </c>
      <c r="B71" s="22" t="inlineStr">
        <is>
          <t>Fortune 1-100</t>
        </is>
      </c>
      <c r="C71" s="22" t="inlineStr">
        <is>
          <t>Eli Lilly</t>
        </is>
      </c>
      <c r="D71" s="23" t="inlineStr">
        <is>
          <t>Searched (live API)</t>
        </is>
      </c>
      <c r="E71" s="21" t="n">
        <v>0</v>
      </c>
      <c r="F71" s="24" t="inlineStr">
        <is>
          <t>Workday API (lilly.wd5/LLY)</t>
        </is>
      </c>
      <c r="G71" s="25" t="inlineStr">
        <is>
          <t>Careers site</t>
        </is>
      </c>
    </row>
    <row r="72">
      <c r="A72" s="21" t="n">
        <v>68</v>
      </c>
      <c r="B72" s="22" t="inlineStr">
        <is>
          <t>Fortune 1-100</t>
        </is>
      </c>
      <c r="C72" s="22" t="inlineStr">
        <is>
          <t>Merck</t>
        </is>
      </c>
      <c r="D72" s="23" t="inlineStr">
        <is>
          <t>Searched (live API)</t>
        </is>
      </c>
      <c r="E72" s="21" t="n">
        <v>0</v>
      </c>
      <c r="F72" s="24" t="inlineStr">
        <is>
          <t>Workday API (msd.wd5/SearchJobs)</t>
        </is>
      </c>
      <c r="G72" s="25" t="inlineStr">
        <is>
          <t>Careers site</t>
        </is>
      </c>
    </row>
    <row r="73">
      <c r="A73" s="21" t="n">
        <v>69</v>
      </c>
      <c r="B73" s="22" t="inlineStr">
        <is>
          <t>Fortune 1-100</t>
        </is>
      </c>
      <c r="C73" s="22" t="inlineStr">
        <is>
          <t>Nationwide</t>
        </is>
      </c>
      <c r="D73" s="23" t="inlineStr">
        <is>
          <t>Searched (live API)</t>
        </is>
      </c>
      <c r="E73" s="21" t="n">
        <v>0</v>
      </c>
      <c r="F73" s="24" t="inlineStr">
        <is>
          <t>Workday API (nationwide.wd1/Nationwide_Career)</t>
        </is>
      </c>
      <c r="G73" s="25" t="inlineStr">
        <is>
          <t>Careers site</t>
        </is>
      </c>
    </row>
    <row r="74">
      <c r="A74" s="21" t="n">
        <v>70</v>
      </c>
      <c r="B74" s="22" t="inlineStr">
        <is>
          <t>Fortune 1-100</t>
        </is>
      </c>
      <c r="C74" s="22" t="inlineStr">
        <is>
          <t>Broadcom</t>
        </is>
      </c>
      <c r="D74" s="23" t="inlineStr">
        <is>
          <t>Searched (live API)</t>
        </is>
      </c>
      <c r="E74" s="21" t="n">
        <v>0</v>
      </c>
      <c r="F74" s="24" t="inlineStr">
        <is>
          <t>Workday API (broadcom.wd1/External_Career)</t>
        </is>
      </c>
      <c r="G74" s="25" t="inlineStr">
        <is>
          <t>Careers site</t>
        </is>
      </c>
    </row>
    <row r="75">
      <c r="A75" s="21" t="n">
        <v>71</v>
      </c>
      <c r="B75" s="22" t="inlineStr">
        <is>
          <t>Fortune 1-100</t>
        </is>
      </c>
      <c r="C75" s="22" t="inlineStr">
        <is>
          <t>Delta Air Lines</t>
        </is>
      </c>
      <c r="D75" s="26" t="inlineStr">
        <is>
          <t>Not searched - no API</t>
        </is>
      </c>
      <c r="E75" s="21" t="inlineStr">
        <is>
          <t>not searched</t>
        </is>
      </c>
      <c r="F75" s="24" t="inlineStr">
        <is>
          <t>Avature (no public API)</t>
        </is>
      </c>
      <c r="G75" s="25" t="inlineStr">
        <is>
          <t>Careers site</t>
        </is>
      </c>
    </row>
    <row r="76">
      <c r="A76" s="21" t="n">
        <v>72</v>
      </c>
      <c r="B76" s="22" t="inlineStr">
        <is>
          <t>Fortune 1-100</t>
        </is>
      </c>
      <c r="C76" s="22" t="inlineStr">
        <is>
          <t>Publix Super Markets</t>
        </is>
      </c>
      <c r="D76" s="26" t="inlineStr">
        <is>
          <t>Not searched - no API</t>
        </is>
      </c>
      <c r="E76" s="21" t="inlineStr">
        <is>
          <t>not searched</t>
        </is>
      </c>
      <c r="F76" s="24" t="inlineStr">
        <is>
          <t>No public JSON endpoint found</t>
        </is>
      </c>
      <c r="G76" s="25" t="inlineStr">
        <is>
          <t>Careers site</t>
        </is>
      </c>
    </row>
    <row r="77">
      <c r="A77" s="21" t="n">
        <v>73</v>
      </c>
      <c r="B77" s="22" t="inlineStr">
        <is>
          <t>Fortune 1-100</t>
        </is>
      </c>
      <c r="C77" s="22" t="inlineStr">
        <is>
          <t>Pfizer</t>
        </is>
      </c>
      <c r="D77" s="23" t="inlineStr">
        <is>
          <t>Searched (live API)</t>
        </is>
      </c>
      <c r="E77" s="21" t="n">
        <v>0</v>
      </c>
      <c r="F77" s="24" t="inlineStr">
        <is>
          <t>Workday API (pfizer.wd1/PfizerCareers)</t>
        </is>
      </c>
      <c r="G77" s="25" t="inlineStr">
        <is>
          <t>Careers site</t>
        </is>
      </c>
    </row>
    <row r="78">
      <c r="A78" s="21" t="n">
        <v>74</v>
      </c>
      <c r="B78" s="22" t="inlineStr">
        <is>
          <t>Fortune 1-100</t>
        </is>
      </c>
      <c r="C78" s="22" t="inlineStr">
        <is>
          <t>TD Synnex</t>
        </is>
      </c>
      <c r="D78" s="26" t="inlineStr">
        <is>
          <t>Not searched - no API</t>
        </is>
      </c>
      <c r="E78" s="21" t="inlineStr">
        <is>
          <t>not searched</t>
        </is>
      </c>
      <c r="F78" s="24" t="inlineStr">
        <is>
          <t>No public JSON endpoint found</t>
        </is>
      </c>
      <c r="G78" s="25" t="inlineStr">
        <is>
          <t>Careers site</t>
        </is>
      </c>
    </row>
    <row r="79">
      <c r="A79" s="21" t="n">
        <v>75</v>
      </c>
      <c r="B79" s="22" t="inlineStr">
        <is>
          <t>Fortune 1-100</t>
        </is>
      </c>
      <c r="C79" s="22" t="inlineStr">
        <is>
          <t>ConocoPhillips</t>
        </is>
      </c>
      <c r="D79" s="23" t="inlineStr">
        <is>
          <t>Searched (live API)</t>
        </is>
      </c>
      <c r="E79" s="21" t="n">
        <v>0</v>
      </c>
      <c r="F79" s="24" t="inlineStr">
        <is>
          <t>Workday API (conocophillips.wd1/External)</t>
        </is>
      </c>
      <c r="G79" s="25" t="inlineStr">
        <is>
          <t>Careers site</t>
        </is>
      </c>
    </row>
    <row r="80">
      <c r="A80" s="21" t="n">
        <v>76</v>
      </c>
      <c r="B80" s="22" t="inlineStr">
        <is>
          <t>Fortune 1-100</t>
        </is>
      </c>
      <c r="C80" s="22" t="inlineStr">
        <is>
          <t>Galaxy Digital</t>
        </is>
      </c>
      <c r="D80" s="23" t="inlineStr">
        <is>
          <t>Searched (live API)</t>
        </is>
      </c>
      <c r="E80" s="21" t="n">
        <v>0</v>
      </c>
      <c r="F80" s="24" t="inlineStr">
        <is>
          <t>Greenhouse boards API</t>
        </is>
      </c>
      <c r="G80" s="25" t="inlineStr">
        <is>
          <t>Careers site</t>
        </is>
      </c>
    </row>
    <row r="81">
      <c r="A81" s="21" t="n">
        <v>77</v>
      </c>
      <c r="B81" s="22" t="inlineStr">
        <is>
          <t>Fortune 1-100</t>
        </is>
      </c>
      <c r="C81" s="22" t="inlineStr">
        <is>
          <t>AbbVie</t>
        </is>
      </c>
      <c r="D81" s="26" t="inlineStr">
        <is>
          <t>Not searched - no API</t>
        </is>
      </c>
      <c r="E81" s="21" t="inlineStr">
        <is>
          <t>not searched</t>
        </is>
      </c>
      <c r="F81" s="24" t="inlineStr">
        <is>
          <t>No public JSON endpoint found</t>
        </is>
      </c>
      <c r="G81" s="25" t="inlineStr">
        <is>
          <t>Careers site</t>
        </is>
      </c>
    </row>
    <row r="82">
      <c r="A82" s="21" t="n">
        <v>78</v>
      </c>
      <c r="B82" s="22" t="inlineStr">
        <is>
          <t>Fortune 1-100</t>
        </is>
      </c>
      <c r="C82" s="22" t="inlineStr">
        <is>
          <t>Prudential Financial</t>
        </is>
      </c>
      <c r="D82" s="23" t="inlineStr">
        <is>
          <t>Searched (live API)</t>
        </is>
      </c>
      <c r="E82" s="21" t="n">
        <v>0</v>
      </c>
      <c r="F82" s="24" t="inlineStr">
        <is>
          <t>Workday API (pru.wd5/Careers)</t>
        </is>
      </c>
      <c r="G82" s="25" t="inlineStr">
        <is>
          <t>Careers site</t>
        </is>
      </c>
    </row>
    <row r="83">
      <c r="A83" s="21" t="n">
        <v>79</v>
      </c>
      <c r="B83" s="22" t="inlineStr">
        <is>
          <t>Fortune 1-100</t>
        </is>
      </c>
      <c r="C83" s="22" t="inlineStr">
        <is>
          <t>TJX</t>
        </is>
      </c>
      <c r="D83" s="23" t="inlineStr">
        <is>
          <t>Searched (live API)</t>
        </is>
      </c>
      <c r="E83" s="21" t="n">
        <v>0</v>
      </c>
      <c r="F83" s="24" t="inlineStr">
        <is>
          <t>Workday API (tjx.wd1/TJX_EXTERNAL)</t>
        </is>
      </c>
      <c r="G83" s="25" t="inlineStr">
        <is>
          <t>Careers site</t>
        </is>
      </c>
    </row>
    <row r="84">
      <c r="A84" s="21" t="n">
        <v>80</v>
      </c>
      <c r="B84" s="22" t="inlineStr">
        <is>
          <t>Fortune 1-100</t>
        </is>
      </c>
      <c r="C84" s="22" t="inlineStr">
        <is>
          <t>Performance Food Group</t>
        </is>
      </c>
      <c r="D84" s="26" t="inlineStr">
        <is>
          <t>Not searched - no API</t>
        </is>
      </c>
      <c r="E84" s="21" t="inlineStr">
        <is>
          <t>not searched</t>
        </is>
      </c>
      <c r="F84" s="24" t="inlineStr">
        <is>
          <t>No public JSON endpoint found</t>
        </is>
      </c>
      <c r="G84" s="25" t="inlineStr">
        <is>
          <t>Careers site</t>
        </is>
      </c>
    </row>
    <row r="85">
      <c r="A85" s="21" t="n">
        <v>81</v>
      </c>
      <c r="B85" s="22" t="inlineStr">
        <is>
          <t>Fortune 1-100</t>
        </is>
      </c>
      <c r="C85" s="22" t="inlineStr">
        <is>
          <t>United Airlines Holdings</t>
        </is>
      </c>
      <c r="D85" s="26" t="inlineStr">
        <is>
          <t>Not searched - no API</t>
        </is>
      </c>
      <c r="E85" s="21" t="inlineStr">
        <is>
          <t>not searched</t>
        </is>
      </c>
      <c r="F85" s="24" t="inlineStr">
        <is>
          <t>No public JSON endpoint found</t>
        </is>
      </c>
      <c r="G85" s="25" t="inlineStr">
        <is>
          <t>Careers site</t>
        </is>
      </c>
    </row>
    <row r="86">
      <c r="A86" s="21" t="n">
        <v>82</v>
      </c>
      <c r="B86" s="22" t="inlineStr">
        <is>
          <t>Fortune 1-100</t>
        </is>
      </c>
      <c r="C86" s="22" t="inlineStr">
        <is>
          <t>Oracle</t>
        </is>
      </c>
      <c r="D86" s="23" t="inlineStr">
        <is>
          <t>Searched (live API)</t>
        </is>
      </c>
      <c r="E86" s="21" t="n">
        <v>2</v>
      </c>
      <c r="F86" s="24" t="inlineStr">
        <is>
          <t>Oracle Cloud recruiting API (eeho)</t>
        </is>
      </c>
      <c r="G86" s="25" t="inlineStr">
        <is>
          <t>Careers site</t>
        </is>
      </c>
    </row>
    <row r="87">
      <c r="A87" s="21" t="n">
        <v>83</v>
      </c>
      <c r="B87" s="22" t="inlineStr">
        <is>
          <t>Fortune 1-100</t>
        </is>
      </c>
      <c r="C87" s="22" t="inlineStr">
        <is>
          <t>Cisco Systems</t>
        </is>
      </c>
      <c r="D87" s="23" t="inlineStr">
        <is>
          <t>Searched (live API)</t>
        </is>
      </c>
      <c r="E87" s="21" t="n">
        <v>1</v>
      </c>
      <c r="F87" s="24" t="inlineStr">
        <is>
          <t>Workday API (cisco.wd5/Cisco_Careers)</t>
        </is>
      </c>
      <c r="G87" s="25" t="inlineStr">
        <is>
          <t>Careers site</t>
        </is>
      </c>
    </row>
    <row r="88">
      <c r="A88" s="21" t="n">
        <v>84</v>
      </c>
      <c r="B88" s="22" t="inlineStr">
        <is>
          <t>Fortune 1-100</t>
        </is>
      </c>
      <c r="C88" s="22" t="inlineStr">
        <is>
          <t>HP</t>
        </is>
      </c>
      <c r="D88" s="23" t="inlineStr">
        <is>
          <t>Searched (live API)</t>
        </is>
      </c>
      <c r="E88" s="21" t="n">
        <v>0</v>
      </c>
      <c r="F88" s="24" t="inlineStr">
        <is>
          <t>Workday API (hp.wd5/ExternalCareerSite)</t>
        </is>
      </c>
      <c r="G88" s="25" t="inlineStr">
        <is>
          <t>Careers site</t>
        </is>
      </c>
    </row>
    <row r="89">
      <c r="A89" s="21" t="n">
        <v>85</v>
      </c>
      <c r="B89" s="22" t="inlineStr">
        <is>
          <t>Fortune 1-100</t>
        </is>
      </c>
      <c r="C89" s="22" t="inlineStr">
        <is>
          <t>Charter Communications</t>
        </is>
      </c>
      <c r="D89" s="26" t="inlineStr">
        <is>
          <t>Not searched - no API</t>
        </is>
      </c>
      <c r="E89" s="21" t="inlineStr">
        <is>
          <t>not searched</t>
        </is>
      </c>
      <c r="F89" s="24" t="inlineStr">
        <is>
          <t>Radancy (HTML only)</t>
        </is>
      </c>
      <c r="G89" s="25" t="inlineStr">
        <is>
          <t>Careers site</t>
        </is>
      </c>
    </row>
    <row r="90">
      <c r="A90" s="21" t="n">
        <v>86</v>
      </c>
      <c r="B90" s="22" t="inlineStr">
        <is>
          <t>Fortune 1-100</t>
        </is>
      </c>
      <c r="C90" s="22" t="inlineStr">
        <is>
          <t>American Airlines Group</t>
        </is>
      </c>
      <c r="D90" s="27" t="inlineStr">
        <is>
          <t>Not searched - blocked</t>
        </is>
      </c>
      <c r="E90" s="21" t="inlineStr">
        <is>
          <t>not searched</t>
        </is>
      </c>
      <c r="F90" s="24" t="inlineStr">
        <is>
          <t>Careers site returns 403 to non-browser clients</t>
        </is>
      </c>
      <c r="G90" s="25" t="inlineStr">
        <is>
          <t>Careers site</t>
        </is>
      </c>
    </row>
    <row r="91">
      <c r="A91" s="21" t="n">
        <v>87</v>
      </c>
      <c r="B91" s="22" t="inlineStr">
        <is>
          <t>Fortune 1-100</t>
        </is>
      </c>
      <c r="C91" s="22" t="inlineStr">
        <is>
          <t>Tyson Foods</t>
        </is>
      </c>
      <c r="D91" s="23" t="inlineStr">
        <is>
          <t>Searched (live API)</t>
        </is>
      </c>
      <c r="E91" s="21" t="n">
        <v>0</v>
      </c>
      <c r="F91" s="24" t="inlineStr">
        <is>
          <t>Workday API (tysonfoods.wd5/TSN)</t>
        </is>
      </c>
      <c r="G91" s="25" t="inlineStr">
        <is>
          <t>Careers site</t>
        </is>
      </c>
    </row>
    <row r="92">
      <c r="A92" s="21" t="n">
        <v>88</v>
      </c>
      <c r="B92" s="22" t="inlineStr">
        <is>
          <t>Fortune 1-100</t>
        </is>
      </c>
      <c r="C92" s="22" t="inlineStr">
        <is>
          <t>Intel</t>
        </is>
      </c>
      <c r="D92" s="23" t="inlineStr">
        <is>
          <t>Searched (live API)</t>
        </is>
      </c>
      <c r="E92" s="21" t="n">
        <v>1</v>
      </c>
      <c r="F92" s="24" t="inlineStr">
        <is>
          <t>Workday API (intel.wd1/External)</t>
        </is>
      </c>
      <c r="G92" s="25" t="inlineStr">
        <is>
          <t>Careers site</t>
        </is>
      </c>
    </row>
    <row r="93">
      <c r="A93" s="21" t="n">
        <v>89</v>
      </c>
      <c r="B93" s="22" t="inlineStr">
        <is>
          <t>Fortune 1-100</t>
        </is>
      </c>
      <c r="C93" s="22" t="inlineStr">
        <is>
          <t>Enterprise Products Partners</t>
        </is>
      </c>
      <c r="D93" s="26" t="inlineStr">
        <is>
          <t>Not searched - no API</t>
        </is>
      </c>
      <c r="E93" s="21" t="inlineStr">
        <is>
          <t>not searched</t>
        </is>
      </c>
      <c r="F93" s="24" t="inlineStr">
        <is>
          <t>No public JSON endpoint found</t>
        </is>
      </c>
      <c r="G93" s="25" t="inlineStr">
        <is>
          <t>Careers site</t>
        </is>
      </c>
    </row>
    <row r="94">
      <c r="A94" s="21" t="n">
        <v>90</v>
      </c>
      <c r="B94" s="22" t="inlineStr">
        <is>
          <t>Fortune 1-100</t>
        </is>
      </c>
      <c r="C94" s="22" t="inlineStr">
        <is>
          <t>Ingram Micro Holding</t>
        </is>
      </c>
      <c r="D94" s="26" t="inlineStr">
        <is>
          <t>Not searched - no API</t>
        </is>
      </c>
      <c r="E94" s="21" t="inlineStr">
        <is>
          <t>not searched</t>
        </is>
      </c>
      <c r="F94" s="24" t="inlineStr">
        <is>
          <t>No public JSON endpoint found</t>
        </is>
      </c>
      <c r="G94" s="25" t="inlineStr">
        <is>
          <t>Careers site</t>
        </is>
      </c>
    </row>
    <row r="95">
      <c r="A95" s="21" t="n">
        <v>91</v>
      </c>
      <c r="B95" s="22" t="inlineStr">
        <is>
          <t>Fortune 1-100</t>
        </is>
      </c>
      <c r="C95" s="22" t="inlineStr">
        <is>
          <t>General Dynamics</t>
        </is>
      </c>
      <c r="D95" s="23" t="inlineStr">
        <is>
          <t>Searched (live API)</t>
        </is>
      </c>
      <c r="E95" s="21" t="n">
        <v>7</v>
      </c>
      <c r="F95" s="24" t="inlineStr">
        <is>
          <t>Workday API (gdit.wd5/External_Career_Site)</t>
        </is>
      </c>
      <c r="G95" s="25" t="inlineStr">
        <is>
          <t>Careers site</t>
        </is>
      </c>
    </row>
    <row r="96">
      <c r="A96" s="21" t="n">
        <v>92</v>
      </c>
      <c r="B96" s="22" t="inlineStr">
        <is>
          <t>Fortune 1-100</t>
        </is>
      </c>
      <c r="C96" s="22" t="inlineStr">
        <is>
          <t>Uber Technologies</t>
        </is>
      </c>
      <c r="D96" s="23" t="inlineStr">
        <is>
          <t>Searched (live API)</t>
        </is>
      </c>
      <c r="E96" s="21" t="n">
        <v>0</v>
      </c>
      <c r="F96" s="24" t="inlineStr">
        <is>
          <t>Oracle Cloud recruiting API (iaziqy)</t>
        </is>
      </c>
      <c r="G96" s="25" t="inlineStr">
        <is>
          <t>Careers site</t>
        </is>
      </c>
    </row>
    <row r="97">
      <c r="A97" s="21" t="n">
        <v>93</v>
      </c>
      <c r="B97" s="22" t="inlineStr">
        <is>
          <t>Fortune 1-100</t>
        </is>
      </c>
      <c r="C97" s="22" t="inlineStr">
        <is>
          <t>USAA</t>
        </is>
      </c>
      <c r="D97" s="23" t="inlineStr">
        <is>
          <t>Searched (live API)</t>
        </is>
      </c>
      <c r="E97" s="21" t="n">
        <v>1</v>
      </c>
      <c r="F97" s="24" t="inlineStr">
        <is>
          <t>Workday API (usaa.wd1/USAAJOBSWD)</t>
        </is>
      </c>
      <c r="G97" s="25" t="inlineStr">
        <is>
          <t>Careers site</t>
        </is>
      </c>
    </row>
    <row r="98">
      <c r="A98" s="21" t="n">
        <v>94</v>
      </c>
      <c r="B98" s="22" t="inlineStr">
        <is>
          <t>Fortune 1-100</t>
        </is>
      </c>
      <c r="C98" s="22" t="inlineStr">
        <is>
          <t>TIAA</t>
        </is>
      </c>
      <c r="D98" s="23" t="inlineStr">
        <is>
          <t>Searched (live API)</t>
        </is>
      </c>
      <c r="E98" s="21" t="n">
        <v>1</v>
      </c>
      <c r="F98" s="24" t="inlineStr">
        <is>
          <t>Workday API (tiaa.wd1/Search)</t>
        </is>
      </c>
      <c r="G98" s="25" t="inlineStr">
        <is>
          <t>Careers site</t>
        </is>
      </c>
    </row>
    <row r="99">
      <c r="A99" s="21" t="n">
        <v>95</v>
      </c>
      <c r="B99" s="22" t="inlineStr">
        <is>
          <t>Fortune 1-100</t>
        </is>
      </c>
      <c r="C99" s="22" t="inlineStr">
        <is>
          <t>Liberty Mutual Insurance Group</t>
        </is>
      </c>
      <c r="D99" s="26" t="inlineStr">
        <is>
          <t>Not searched - no API</t>
        </is>
      </c>
      <c r="E99" s="21" t="inlineStr">
        <is>
          <t>not searched</t>
        </is>
      </c>
      <c r="F99" s="24" t="inlineStr">
        <is>
          <t>iCIMS (no public search API)</t>
        </is>
      </c>
      <c r="G99" s="25" t="inlineStr">
        <is>
          <t>Careers site</t>
        </is>
      </c>
    </row>
    <row r="100">
      <c r="A100" s="21" t="n">
        <v>96</v>
      </c>
      <c r="B100" s="22" t="inlineStr">
        <is>
          <t>Fortune 1-100</t>
        </is>
      </c>
      <c r="C100" s="22" t="inlineStr">
        <is>
          <t>Travelers</t>
        </is>
      </c>
      <c r="D100" s="23" t="inlineStr">
        <is>
          <t>Searched (live API)</t>
        </is>
      </c>
      <c r="E100" s="21" t="n">
        <v>0</v>
      </c>
      <c r="F100" s="24" t="inlineStr">
        <is>
          <t>Workday API (travelers.wd5/External)</t>
        </is>
      </c>
      <c r="G100" s="25" t="inlineStr">
        <is>
          <t>Careers site</t>
        </is>
      </c>
    </row>
    <row r="101">
      <c r="A101" s="21" t="n">
        <v>97</v>
      </c>
      <c r="B101" s="22" t="inlineStr">
        <is>
          <t>Fortune 1-100</t>
        </is>
      </c>
      <c r="C101" s="22" t="inlineStr">
        <is>
          <t>Bristol-Myers Squibb</t>
        </is>
      </c>
      <c r="D101" s="23" t="inlineStr">
        <is>
          <t>Searched (live API)</t>
        </is>
      </c>
      <c r="E101" s="21" t="n">
        <v>0</v>
      </c>
      <c r="F101" s="24" t="inlineStr">
        <is>
          <t>Workday API (bristolmyerssquibb.wd5/BMS)</t>
        </is>
      </c>
      <c r="G101" s="25" t="inlineStr">
        <is>
          <t>Careers site</t>
        </is>
      </c>
    </row>
    <row r="102">
      <c r="A102" s="21" t="n">
        <v>98</v>
      </c>
      <c r="B102" s="22" t="inlineStr">
        <is>
          <t>Fortune 1-100</t>
        </is>
      </c>
      <c r="C102" s="22" t="inlineStr">
        <is>
          <t>Coca-Cola</t>
        </is>
      </c>
      <c r="D102" s="23" t="inlineStr">
        <is>
          <t>Searched (live API)</t>
        </is>
      </c>
      <c r="E102" s="21" t="n">
        <v>1</v>
      </c>
      <c r="F102" s="24" t="inlineStr">
        <is>
          <t>Workday API (coke.wd1/coca-cola-careers)</t>
        </is>
      </c>
      <c r="G102" s="25" t="inlineStr">
        <is>
          <t>Careers site</t>
        </is>
      </c>
    </row>
    <row r="103">
      <c r="A103" s="21" t="n">
        <v>99</v>
      </c>
      <c r="B103" s="22" t="inlineStr">
        <is>
          <t>Fortune 1-100</t>
        </is>
      </c>
      <c r="C103" s="22" t="inlineStr">
        <is>
          <t>Nike</t>
        </is>
      </c>
      <c r="D103" s="23" t="inlineStr">
        <is>
          <t>Searched (live API)</t>
        </is>
      </c>
      <c r="E103" s="21" t="n">
        <v>0</v>
      </c>
      <c r="F103" s="24" t="inlineStr">
        <is>
          <t>Workday API (nike.wd1/nke)</t>
        </is>
      </c>
      <c r="G103" s="25" t="inlineStr">
        <is>
          <t>Careers site</t>
        </is>
      </c>
    </row>
    <row r="104">
      <c r="A104" s="21" t="n">
        <v>100</v>
      </c>
      <c r="B104" s="22" t="inlineStr">
        <is>
          <t>Fortune 1-100</t>
        </is>
      </c>
      <c r="C104" s="22" t="inlineStr">
        <is>
          <t>Massachusetts Mutual Life</t>
        </is>
      </c>
      <c r="D104" s="23" t="inlineStr">
        <is>
          <t>Searched (live API)</t>
        </is>
      </c>
      <c r="E104" s="21" t="n">
        <v>0</v>
      </c>
      <c r="F104" s="24" t="inlineStr">
        <is>
          <t>Workday API (massmutual.wd1/MMAscendCareers)</t>
        </is>
      </c>
      <c r="G104" s="25" t="inlineStr">
        <is>
          <t>Careers site</t>
        </is>
      </c>
    </row>
    <row r="105">
      <c r="A105" s="21" t="n">
        <v>101</v>
      </c>
      <c r="B105" s="22" t="inlineStr">
        <is>
          <t>Fortune 101-200</t>
        </is>
      </c>
      <c r="C105" s="22" t="inlineStr">
        <is>
          <t>GE Aerospace</t>
        </is>
      </c>
      <c r="D105" s="23" t="inlineStr">
        <is>
          <t>Searched (live API)</t>
        </is>
      </c>
      <c r="E105" s="21" t="n">
        <v>0</v>
      </c>
      <c r="F105" s="24" t="inlineStr">
        <is>
          <t>Workday API (geaerospace.wd5/GE_ExternalSite)</t>
        </is>
      </c>
      <c r="G105" s="25" t="inlineStr">
        <is>
          <t>Careers site</t>
        </is>
      </c>
    </row>
    <row r="106">
      <c r="A106" s="21" t="n">
        <v>102</v>
      </c>
      <c r="B106" s="22" t="inlineStr">
        <is>
          <t>Fortune 101-200</t>
        </is>
      </c>
      <c r="C106" s="22" t="inlineStr">
        <is>
          <t>Deere</t>
        </is>
      </c>
      <c r="D106" s="26" t="inlineStr">
        <is>
          <t>Not searched - no API</t>
        </is>
      </c>
      <c r="E106" s="21" t="inlineStr">
        <is>
          <t>not searched</t>
        </is>
      </c>
      <c r="F106" s="24" t="inlineStr">
        <is>
          <t>No public JSON endpoint found during discovery</t>
        </is>
      </c>
      <c r="G106" s="25" t="inlineStr">
        <is>
          <t>Careers site</t>
        </is>
      </c>
    </row>
    <row r="107">
      <c r="A107" s="21" t="n">
        <v>103</v>
      </c>
      <c r="B107" s="22" t="inlineStr">
        <is>
          <t>Fortune 101-200</t>
        </is>
      </c>
      <c r="C107" s="22" t="inlineStr">
        <is>
          <t>Plains GP Holdings</t>
        </is>
      </c>
      <c r="D107" s="23" t="inlineStr">
        <is>
          <t>Searched (live API)</t>
        </is>
      </c>
      <c r="E107" s="21" t="n">
        <v>0</v>
      </c>
      <c r="F107" s="24" t="inlineStr">
        <is>
          <t>Workday API (plains.wd1/plains)</t>
        </is>
      </c>
      <c r="G107" s="25" t="inlineStr">
        <is>
          <t>Careers site</t>
        </is>
      </c>
    </row>
    <row r="108">
      <c r="A108" s="21" t="n">
        <v>104</v>
      </c>
      <c r="B108" s="22" t="inlineStr">
        <is>
          <t>Fortune 101-200</t>
        </is>
      </c>
      <c r="C108" s="22" t="inlineStr">
        <is>
          <t>Molina Healthcare</t>
        </is>
      </c>
      <c r="D108" s="23" t="inlineStr">
        <is>
          <t>Searched (live API)</t>
        </is>
      </c>
      <c r="E108" s="21" t="n">
        <v>0</v>
      </c>
      <c r="F108" s="24" t="inlineStr">
        <is>
          <t>Oracle Cloud recruiting API (hckd.fa.us2.oraclecloud.com, CX_1)</t>
        </is>
      </c>
      <c r="G108" s="25" t="inlineStr">
        <is>
          <t>Careers site</t>
        </is>
      </c>
    </row>
    <row r="109">
      <c r="A109" s="21" t="n">
        <v>105</v>
      </c>
      <c r="B109" s="22" t="inlineStr">
        <is>
          <t>Fortune 101-200</t>
        </is>
      </c>
      <c r="C109" s="22" t="inlineStr">
        <is>
          <t>Netflix</t>
        </is>
      </c>
      <c r="D109" s="26" t="inlineStr">
        <is>
          <t>Not searched - no API</t>
        </is>
      </c>
      <c r="E109" s="21" t="inlineStr">
        <is>
          <t>not searched</t>
        </is>
      </c>
      <c r="F109" s="24" t="inlineStr">
        <is>
          <t>No public JSON endpoint found during discovery</t>
        </is>
      </c>
      <c r="G109" s="25" t="inlineStr">
        <is>
          <t>Careers site</t>
        </is>
      </c>
    </row>
    <row r="110">
      <c r="A110" s="21" t="n">
        <v>106</v>
      </c>
      <c r="B110" s="22" t="inlineStr">
        <is>
          <t>Fortune 101-200</t>
        </is>
      </c>
      <c r="C110" s="22" t="inlineStr">
        <is>
          <t>Thermo Fisher Scientific</t>
        </is>
      </c>
      <c r="D110" s="26" t="inlineStr">
        <is>
          <t>Not searched - endpoint failed</t>
        </is>
      </c>
      <c r="E110" s="21" t="inlineStr">
        <is>
          <t>not searched</t>
        </is>
      </c>
      <c r="F110" s="24" t="inlineStr">
        <is>
          <t>Phenom endpoint on jobs.thermofisher.com did not respond (HTTP 500 / not a jobs API)</t>
        </is>
      </c>
      <c r="G110" s="25" t="inlineStr">
        <is>
          <t>Careers site</t>
        </is>
      </c>
    </row>
    <row r="111">
      <c r="A111" s="21" t="n">
        <v>107</v>
      </c>
      <c r="B111" s="22" t="inlineStr">
        <is>
          <t>Fortune 101-200</t>
        </is>
      </c>
      <c r="C111" s="22" t="inlineStr">
        <is>
          <t>Abbott Laboratories</t>
        </is>
      </c>
      <c r="D111" s="23" t="inlineStr">
        <is>
          <t>Searched (live API)</t>
        </is>
      </c>
      <c r="E111" s="21" t="n">
        <v>1</v>
      </c>
      <c r="F111" s="24" t="inlineStr">
        <is>
          <t>Workday API (abbott.wd5/abbottcareers)</t>
        </is>
      </c>
      <c r="G111" s="25" t="inlineStr">
        <is>
          <t>Careers site</t>
        </is>
      </c>
    </row>
    <row r="112">
      <c r="A112" s="21" t="n">
        <v>108</v>
      </c>
      <c r="B112" s="22" t="inlineStr">
        <is>
          <t>Fortune 101-200</t>
        </is>
      </c>
      <c r="C112" s="22" t="inlineStr">
        <is>
          <t>Qualcomm</t>
        </is>
      </c>
      <c r="D112" s="23" t="inlineStr">
        <is>
          <t>Searched (live API)</t>
        </is>
      </c>
      <c r="E112" s="21" t="n">
        <v>0</v>
      </c>
      <c r="F112" s="24" t="inlineStr">
        <is>
          <t>Workday API (qualcomm.wd12/External)</t>
        </is>
      </c>
      <c r="G112" s="25" t="inlineStr">
        <is>
          <t>Careers site</t>
        </is>
      </c>
    </row>
    <row r="113">
      <c r="A113" s="21" t="n">
        <v>109</v>
      </c>
      <c r="B113" s="22" t="inlineStr">
        <is>
          <t>Fortune 101-200</t>
        </is>
      </c>
      <c r="C113" s="22" t="inlineStr">
        <is>
          <t>Northwestern Mutual</t>
        </is>
      </c>
      <c r="D113" s="23" t="inlineStr">
        <is>
          <t>Searched (live API)</t>
        </is>
      </c>
      <c r="E113" s="21" t="n">
        <v>0</v>
      </c>
      <c r="F113" s="24" t="inlineStr">
        <is>
          <t>Workday API (northwesternmutual.wd5/CORPORATE-CAREERS)</t>
        </is>
      </c>
      <c r="G113" s="25" t="inlineStr">
        <is>
          <t>Careers site</t>
        </is>
      </c>
    </row>
    <row r="114">
      <c r="A114" s="21" t="n">
        <v>110</v>
      </c>
      <c r="B114" s="22" t="inlineStr">
        <is>
          <t>Fortune 101-200</t>
        </is>
      </c>
      <c r="C114" s="22" t="inlineStr">
        <is>
          <t>U.S. Bancorp</t>
        </is>
      </c>
      <c r="D114" s="23" t="inlineStr">
        <is>
          <t>Searched (live API)</t>
        </is>
      </c>
      <c r="E114" s="21" t="n">
        <v>2</v>
      </c>
      <c r="F114" s="24" t="inlineStr">
        <is>
          <t>Workday API (usbank.wd1/US_Bank_Careers)</t>
        </is>
      </c>
      <c r="G114" s="25" t="inlineStr">
        <is>
          <t>Careers site</t>
        </is>
      </c>
    </row>
    <row r="115">
      <c r="A115" s="21" t="n">
        <v>111</v>
      </c>
      <c r="B115" s="22" t="inlineStr">
        <is>
          <t>Fortune 101-200</t>
        </is>
      </c>
      <c r="C115" s="22" t="inlineStr">
        <is>
          <t>Dollar General</t>
        </is>
      </c>
      <c r="D115" s="26" t="inlineStr">
        <is>
          <t>Not searched - no API</t>
        </is>
      </c>
      <c r="E115" s="21" t="inlineStr">
        <is>
          <t>not searched</t>
        </is>
      </c>
      <c r="F115" s="24" t="inlineStr">
        <is>
          <t>No public JSON endpoint found during discovery</t>
        </is>
      </c>
      <c r="G115" s="25" t="inlineStr">
        <is>
          <t>Careers site</t>
        </is>
      </c>
    </row>
    <row r="116">
      <c r="A116" s="21" t="n">
        <v>112</v>
      </c>
      <c r="B116" s="22" t="inlineStr">
        <is>
          <t>Fortune 101-200</t>
        </is>
      </c>
      <c r="C116" s="22" t="inlineStr">
        <is>
          <t>Northrop Grumman</t>
        </is>
      </c>
      <c r="D116" s="23" t="inlineStr">
        <is>
          <t>Searched (live API)</t>
        </is>
      </c>
      <c r="E116" s="21" t="n">
        <v>0</v>
      </c>
      <c r="F116" s="24" t="inlineStr">
        <is>
          <t>Workday API (ngc.wd1/Northrop_Grumman_External_Site)</t>
        </is>
      </c>
      <c r="G116" s="25" t="inlineStr">
        <is>
          <t>Careers site</t>
        </is>
      </c>
    </row>
    <row r="117">
      <c r="A117" s="21" t="n">
        <v>113</v>
      </c>
      <c r="B117" s="22" t="inlineStr">
        <is>
          <t>Fortune 101-200</t>
        </is>
      </c>
      <c r="C117" s="22" t="inlineStr">
        <is>
          <t>Best Buy</t>
        </is>
      </c>
      <c r="D117" s="26" t="inlineStr">
        <is>
          <t>Not searched - no API</t>
        </is>
      </c>
      <c r="E117" s="21" t="inlineStr">
        <is>
          <t>not searched</t>
        </is>
      </c>
      <c r="F117" s="24" t="inlineStr">
        <is>
          <t>No public JSON endpoint found during discovery</t>
        </is>
      </c>
      <c r="G117" s="25" t="inlineStr">
        <is>
          <t>Careers site</t>
        </is>
      </c>
    </row>
    <row r="118">
      <c r="A118" s="21" t="n">
        <v>114</v>
      </c>
      <c r="B118" s="22" t="inlineStr">
        <is>
          <t>Fortune 101-200</t>
        </is>
      </c>
      <c r="C118" s="22" t="inlineStr">
        <is>
          <t>Salesforce</t>
        </is>
      </c>
      <c r="D118" s="23" t="inlineStr">
        <is>
          <t>Searched (live API)</t>
        </is>
      </c>
      <c r="E118" s="21" t="n">
        <v>0</v>
      </c>
      <c r="F118" s="24" t="inlineStr">
        <is>
          <t>Workday API (salesforce.wd12/External_Career_Site)</t>
        </is>
      </c>
      <c r="G118" s="25" t="inlineStr">
        <is>
          <t>Careers site</t>
        </is>
      </c>
    </row>
    <row r="119">
      <c r="A119" s="21" t="n">
        <v>115</v>
      </c>
      <c r="B119" s="22" t="inlineStr">
        <is>
          <t>Fortune 101-200</t>
        </is>
      </c>
      <c r="C119" s="22" t="inlineStr">
        <is>
          <t>Bank of New York (BNY)</t>
        </is>
      </c>
      <c r="D119" s="26" t="inlineStr">
        <is>
          <t>Not searched - no API</t>
        </is>
      </c>
      <c r="E119" s="21" t="inlineStr">
        <is>
          <t>not searched</t>
        </is>
      </c>
      <c r="F119" s="24" t="inlineStr">
        <is>
          <t>No public JSON endpoint found during discovery</t>
        </is>
      </c>
      <c r="G119" s="25" t="inlineStr">
        <is>
          <t>Careers site</t>
        </is>
      </c>
    </row>
    <row r="120">
      <c r="A120" s="21" t="n">
        <v>116</v>
      </c>
      <c r="B120" s="22" t="inlineStr">
        <is>
          <t>Fortune 101-200</t>
        </is>
      </c>
      <c r="C120" s="22" t="inlineStr">
        <is>
          <t>Honeywell International</t>
        </is>
      </c>
      <c r="D120" s="23" t="inlineStr">
        <is>
          <t>Searched (live API)</t>
        </is>
      </c>
      <c r="E120" s="21" t="n">
        <v>0</v>
      </c>
      <c r="F120" s="24" t="inlineStr">
        <is>
          <t>Oracle Cloud recruiting API (ibqbjb.fa.ocs.oraclecloud.com, CX_1)</t>
        </is>
      </c>
      <c r="G120" s="25" t="inlineStr">
        <is>
          <t>Careers site</t>
        </is>
      </c>
    </row>
    <row r="121">
      <c r="A121" s="21" t="n">
        <v>117</v>
      </c>
      <c r="B121" s="22" t="inlineStr">
        <is>
          <t>Fortune 101-200</t>
        </is>
      </c>
      <c r="C121" s="22" t="inlineStr">
        <is>
          <t>Philip Morris International</t>
        </is>
      </c>
      <c r="D121" s="26" t="inlineStr">
        <is>
          <t>Not searched - no API</t>
        </is>
      </c>
      <c r="E121" s="21" t="inlineStr">
        <is>
          <t>not searched</t>
        </is>
      </c>
      <c r="F121" s="24" t="inlineStr">
        <is>
          <t>No public JSON endpoint found during discovery</t>
        </is>
      </c>
      <c r="G121" s="25" t="inlineStr">
        <is>
          <t>Careers site</t>
        </is>
      </c>
    </row>
    <row r="122">
      <c r="A122" s="21" t="n">
        <v>118</v>
      </c>
      <c r="B122" s="22" t="inlineStr">
        <is>
          <t>Fortune 101-200</t>
        </is>
      </c>
      <c r="C122" s="22" t="inlineStr">
        <is>
          <t>CBRE Group</t>
        </is>
      </c>
      <c r="D122" s="26" t="inlineStr">
        <is>
          <t>Not searched - no API</t>
        </is>
      </c>
      <c r="E122" s="21" t="inlineStr">
        <is>
          <t>not searched</t>
        </is>
      </c>
      <c r="F122" s="24" t="inlineStr">
        <is>
          <t>No public JSON endpoint found during discovery</t>
        </is>
      </c>
      <c r="G122" s="25" t="inlineStr">
        <is>
          <t>Careers site</t>
        </is>
      </c>
    </row>
    <row r="123">
      <c r="A123" s="21" t="n">
        <v>119</v>
      </c>
      <c r="B123" s="22" t="inlineStr">
        <is>
          <t>Fortune 101-200</t>
        </is>
      </c>
      <c r="C123" s="22" t="inlineStr">
        <is>
          <t>Visa</t>
        </is>
      </c>
      <c r="D123" s="23" t="inlineStr">
        <is>
          <t>Searched (live API)</t>
        </is>
      </c>
      <c r="E123" s="21" t="n">
        <v>0</v>
      </c>
      <c r="F123" s="24" t="inlineStr">
        <is>
          <t>Workday API (visa.wd5/Visa)</t>
        </is>
      </c>
      <c r="G123" s="25" t="inlineStr">
        <is>
          <t>Careers site</t>
        </is>
      </c>
    </row>
    <row r="124">
      <c r="A124" s="21" t="n">
        <v>120</v>
      </c>
      <c r="B124" s="22" t="inlineStr">
        <is>
          <t>Fortune 101-200</t>
        </is>
      </c>
      <c r="C124" s="22" t="inlineStr">
        <is>
          <t>Dow</t>
        </is>
      </c>
      <c r="D124" s="23" t="inlineStr">
        <is>
          <t>Searched (live API)</t>
        </is>
      </c>
      <c r="E124" s="21" t="n">
        <v>0</v>
      </c>
      <c r="F124" s="24" t="inlineStr">
        <is>
          <t>Workday API (dow.wd1/ExternalCareers)</t>
        </is>
      </c>
      <c r="G124" s="25" t="inlineStr">
        <is>
          <t>Careers site</t>
        </is>
      </c>
    </row>
    <row r="125">
      <c r="A125" s="21" t="n">
        <v>121</v>
      </c>
      <c r="B125" s="22" t="inlineStr">
        <is>
          <t>Fortune 101-200</t>
        </is>
      </c>
      <c r="C125" s="22" t="inlineStr">
        <is>
          <t>US Foods Holding</t>
        </is>
      </c>
      <c r="D125" s="26" t="inlineStr">
        <is>
          <t>Not searched - endpoint failed</t>
        </is>
      </c>
      <c r="E125" s="21" t="inlineStr">
        <is>
          <t>not searched</t>
        </is>
      </c>
      <c r="F125" s="24" t="inlineStr">
        <is>
          <t>Phenom endpoint on careers.usfoods.com did not respond (HTTP 500 / not a jobs API)</t>
        </is>
      </c>
      <c r="G125" s="25" t="inlineStr">
        <is>
          <t>Careers site</t>
        </is>
      </c>
    </row>
    <row r="126">
      <c r="A126" s="21" t="n">
        <v>122</v>
      </c>
      <c r="B126" s="22" t="inlineStr">
        <is>
          <t>Fortune 101-200</t>
        </is>
      </c>
      <c r="C126" s="22" t="inlineStr">
        <is>
          <t>Mondelez International</t>
        </is>
      </c>
      <c r="D126" s="23" t="inlineStr">
        <is>
          <t>Searched (live API)</t>
        </is>
      </c>
      <c r="E126" s="21" t="n">
        <v>0</v>
      </c>
      <c r="F126" s="24" t="inlineStr">
        <is>
          <t>Workday API (mdlz.wd3/External)</t>
        </is>
      </c>
      <c r="G126" s="25" t="inlineStr">
        <is>
          <t>Careers site</t>
        </is>
      </c>
    </row>
    <row r="127">
      <c r="A127" s="21" t="n">
        <v>123</v>
      </c>
      <c r="B127" s="22" t="inlineStr">
        <is>
          <t>Fortune 101-200</t>
        </is>
      </c>
      <c r="C127" s="22" t="inlineStr">
        <is>
          <t>Lithia Motors</t>
        </is>
      </c>
      <c r="D127" s="26" t="inlineStr">
        <is>
          <t>Not searched - no API</t>
        </is>
      </c>
      <c r="E127" s="21" t="inlineStr">
        <is>
          <t>not searched</t>
        </is>
      </c>
      <c r="F127" s="24" t="inlineStr">
        <is>
          <t>No public JSON endpoint found during discovery</t>
        </is>
      </c>
      <c r="G127" s="25" t="inlineStr">
        <is>
          <t>Careers site</t>
        </is>
      </c>
    </row>
    <row r="128">
      <c r="A128" s="21" t="n">
        <v>124</v>
      </c>
      <c r="B128" s="22" t="inlineStr">
        <is>
          <t>Fortune 101-200</t>
        </is>
      </c>
      <c r="C128" s="22" t="inlineStr">
        <is>
          <t>GE Vernova</t>
        </is>
      </c>
      <c r="D128" s="26" t="inlineStr">
        <is>
          <t>Not searched - no API</t>
        </is>
      </c>
      <c r="E128" s="21" t="inlineStr">
        <is>
          <t>not searched</t>
        </is>
      </c>
      <c r="F128" s="24" t="inlineStr">
        <is>
          <t>No public JSON endpoint found during discovery</t>
        </is>
      </c>
      <c r="G128" s="25" t="inlineStr">
        <is>
          <t>Careers site</t>
        </is>
      </c>
    </row>
    <row r="129">
      <c r="A129" s="21" t="n">
        <v>125</v>
      </c>
      <c r="B129" s="22" t="inlineStr">
        <is>
          <t>Fortune 101-200</t>
        </is>
      </c>
      <c r="C129" s="22" t="inlineStr">
        <is>
          <t>Micron Technology</t>
        </is>
      </c>
      <c r="D129" s="23" t="inlineStr">
        <is>
          <t>Searched (live API)</t>
        </is>
      </c>
      <c r="E129" s="21" t="n">
        <v>0</v>
      </c>
      <c r="F129" s="24" t="inlineStr">
        <is>
          <t>Workday API (micron.wd1/External)</t>
        </is>
      </c>
      <c r="G129" s="25" t="inlineStr">
        <is>
          <t>Careers site</t>
        </is>
      </c>
    </row>
    <row r="130">
      <c r="A130" s="21" t="n">
        <v>126</v>
      </c>
      <c r="B130" s="22" t="inlineStr">
        <is>
          <t>Fortune 101-200</t>
        </is>
      </c>
      <c r="C130" s="22" t="inlineStr">
        <is>
          <t>Warner Bros. Discovery</t>
        </is>
      </c>
      <c r="D130" s="26" t="inlineStr">
        <is>
          <t>Not searched - endpoint failed</t>
        </is>
      </c>
      <c r="E130" s="21" t="inlineStr">
        <is>
          <t>not searched</t>
        </is>
      </c>
      <c r="F130" s="24" t="inlineStr">
        <is>
          <t>Phenom endpoint on careers.wbd.com did not respond (HTTP 500 / not a jobs API)</t>
        </is>
      </c>
      <c r="G130" s="25" t="inlineStr">
        <is>
          <t>Careers site</t>
        </is>
      </c>
    </row>
    <row r="131">
      <c r="A131" s="21" t="n">
        <v>127</v>
      </c>
      <c r="B131" s="22" t="inlineStr">
        <is>
          <t>Fortune 101-200</t>
        </is>
      </c>
      <c r="C131" s="22" t="inlineStr">
        <is>
          <t>Starbucks</t>
        </is>
      </c>
      <c r="D131" s="23" t="inlineStr">
        <is>
          <t>Searched (live API)</t>
        </is>
      </c>
      <c r="E131" s="21" t="n">
        <v>0</v>
      </c>
      <c r="F131" s="24" t="inlineStr">
        <is>
          <t>Eightfold API (starbucks.eightfold.ai)</t>
        </is>
      </c>
      <c r="G131" s="25" t="inlineStr">
        <is>
          <t>Careers site</t>
        </is>
      </c>
    </row>
    <row r="132">
      <c r="A132" s="21" t="n">
        <v>128</v>
      </c>
      <c r="B132" s="22" t="inlineStr">
        <is>
          <t>Fortune 101-200</t>
        </is>
      </c>
      <c r="C132" s="22" t="inlineStr">
        <is>
          <t>World Kinect</t>
        </is>
      </c>
      <c r="D132" s="23" t="inlineStr">
        <is>
          <t>Searched (live API)</t>
        </is>
      </c>
      <c r="E132" s="21" t="n">
        <v>0</v>
      </c>
      <c r="F132" s="24" t="inlineStr">
        <is>
          <t>Workday API (wfscorp.wd5/wfscareers)</t>
        </is>
      </c>
      <c r="G132" s="25" t="inlineStr">
        <is>
          <t>Careers site</t>
        </is>
      </c>
    </row>
    <row r="133">
      <c r="A133" s="21" t="n">
        <v>129</v>
      </c>
      <c r="B133" s="22" t="inlineStr">
        <is>
          <t>Fortune 101-200</t>
        </is>
      </c>
      <c r="C133" s="22" t="inlineStr">
        <is>
          <t>Amgen</t>
        </is>
      </c>
      <c r="D133" s="23" t="inlineStr">
        <is>
          <t>Searched (live API)</t>
        </is>
      </c>
      <c r="E133" s="21" t="n">
        <v>0</v>
      </c>
      <c r="F133" s="24" t="inlineStr">
        <is>
          <t>Workday API (amgen.wd1/Careers)</t>
        </is>
      </c>
      <c r="G133" s="25" t="inlineStr">
        <is>
          <t>Careers site</t>
        </is>
      </c>
    </row>
    <row r="134">
      <c r="A134" s="21" t="n">
        <v>130</v>
      </c>
      <c r="B134" s="22" t="inlineStr">
        <is>
          <t>Fortune 101-200</t>
        </is>
      </c>
      <c r="C134" s="22" t="inlineStr">
        <is>
          <t>CHS</t>
        </is>
      </c>
      <c r="D134" s="26" t="inlineStr">
        <is>
          <t>Not searched - no API</t>
        </is>
      </c>
      <c r="E134" s="21" t="inlineStr">
        <is>
          <t>not searched</t>
        </is>
      </c>
      <c r="F134" s="24" t="inlineStr">
        <is>
          <t>No public JSON endpoint found during discovery</t>
        </is>
      </c>
      <c r="G134" s="25" t="inlineStr">
        <is>
          <t>Careers site</t>
        </is>
      </c>
    </row>
    <row r="135">
      <c r="A135" s="21" t="n">
        <v>131</v>
      </c>
      <c r="B135" s="22" t="inlineStr">
        <is>
          <t>Fortune 101-200</t>
        </is>
      </c>
      <c r="C135" s="22" t="inlineStr">
        <is>
          <t>Advanced Micro Devices</t>
        </is>
      </c>
      <c r="D135" s="26" t="inlineStr">
        <is>
          <t>Not searched - no API</t>
        </is>
      </c>
      <c r="E135" s="21" t="inlineStr">
        <is>
          <t>not searched</t>
        </is>
      </c>
      <c r="F135" s="24" t="inlineStr">
        <is>
          <t>No public JSON endpoint found during discovery</t>
        </is>
      </c>
      <c r="G135" s="25" t="inlineStr">
        <is>
          <t>Careers site</t>
        </is>
      </c>
    </row>
    <row r="136">
      <c r="A136" s="21" t="n">
        <v>132</v>
      </c>
      <c r="B136" s="22" t="inlineStr">
        <is>
          <t>Fortune 101-200</t>
        </is>
      </c>
      <c r="C136" s="22" t="inlineStr">
        <is>
          <t>Coupang</t>
        </is>
      </c>
      <c r="D136" s="26" t="inlineStr">
        <is>
          <t>Not searched - no API</t>
        </is>
      </c>
      <c r="E136" s="21" t="inlineStr">
        <is>
          <t>not searched</t>
        </is>
      </c>
      <c r="F136" s="24" t="inlineStr">
        <is>
          <t>No public JSON endpoint found during discovery</t>
        </is>
      </c>
      <c r="G136" s="25" t="inlineStr">
        <is>
          <t>Careers site</t>
        </is>
      </c>
    </row>
    <row r="137">
      <c r="A137" s="21" t="n">
        <v>133</v>
      </c>
      <c r="B137" s="22" t="inlineStr">
        <is>
          <t>Fortune 101-200</t>
        </is>
      </c>
      <c r="C137" s="22" t="inlineStr">
        <is>
          <t>Hewlett Packard Enterprise</t>
        </is>
      </c>
      <c r="D137" s="26" t="inlineStr">
        <is>
          <t>Not searched - endpoint failed</t>
        </is>
      </c>
      <c r="E137" s="21" t="inlineStr">
        <is>
          <t>not searched</t>
        </is>
      </c>
      <c r="F137" s="24" t="inlineStr">
        <is>
          <t>Phenom endpoint on careers.hpe.com did not respond (HTTP 500 / not a jobs API)</t>
        </is>
      </c>
      <c r="G137" s="25" t="inlineStr">
        <is>
          <t>Careers site</t>
        </is>
      </c>
    </row>
    <row r="138">
      <c r="A138" s="21" t="n">
        <v>134</v>
      </c>
      <c r="B138" s="22" t="inlineStr">
        <is>
          <t>Fortune 101-200</t>
        </is>
      </c>
      <c r="C138" s="22" t="inlineStr">
        <is>
          <t>D.R. Horton</t>
        </is>
      </c>
      <c r="D138" s="26" t="inlineStr">
        <is>
          <t>Not searched - no API</t>
        </is>
      </c>
      <c r="E138" s="21" t="inlineStr">
        <is>
          <t>not searched</t>
        </is>
      </c>
      <c r="F138" s="24" t="inlineStr">
        <is>
          <t>No public JSON endpoint found during discovery</t>
        </is>
      </c>
      <c r="G138" s="25" t="inlineStr">
        <is>
          <t>Careers site</t>
        </is>
      </c>
    </row>
    <row r="139">
      <c r="A139" s="21" t="n">
        <v>135</v>
      </c>
      <c r="B139" s="22" t="inlineStr">
        <is>
          <t>Fortune 101-200</t>
        </is>
      </c>
      <c r="C139" s="22" t="inlineStr">
        <is>
          <t>Lennar</t>
        </is>
      </c>
      <c r="D139" s="26" t="inlineStr">
        <is>
          <t>Not searched - no API</t>
        </is>
      </c>
      <c r="E139" s="21" t="inlineStr">
        <is>
          <t>not searched</t>
        </is>
      </c>
      <c r="F139" s="24" t="inlineStr">
        <is>
          <t>No public JSON endpoint found during discovery</t>
        </is>
      </c>
      <c r="G139" s="25" t="inlineStr">
        <is>
          <t>Careers site</t>
        </is>
      </c>
    </row>
    <row r="140">
      <c r="A140" s="21" t="n">
        <v>136</v>
      </c>
      <c r="B140" s="22" t="inlineStr">
        <is>
          <t>Fortune 101-200</t>
        </is>
      </c>
      <c r="C140" s="22" t="inlineStr">
        <is>
          <t>PNC Financial Services Group</t>
        </is>
      </c>
      <c r="D140" s="23" t="inlineStr">
        <is>
          <t>Searched (live API)</t>
        </is>
      </c>
      <c r="E140" s="21" t="n">
        <v>1</v>
      </c>
      <c r="F140" s="24" t="inlineStr">
        <is>
          <t>Workday API (pnc.wd5/External)</t>
        </is>
      </c>
      <c r="G140" s="25" t="inlineStr">
        <is>
          <t>Careers site</t>
        </is>
      </c>
    </row>
    <row r="141">
      <c r="A141" s="21" t="n">
        <v>137</v>
      </c>
      <c r="B141" s="22" t="inlineStr">
        <is>
          <t>Fortune 101-200</t>
        </is>
      </c>
      <c r="C141" s="22" t="inlineStr">
        <is>
          <t>Cummins</t>
        </is>
      </c>
      <c r="D141" s="26" t="inlineStr">
        <is>
          <t>Not searched - no API</t>
        </is>
      </c>
      <c r="E141" s="21" t="inlineStr">
        <is>
          <t>not searched</t>
        </is>
      </c>
      <c r="F141" s="24" t="inlineStr">
        <is>
          <t>No public JSON endpoint found during discovery</t>
        </is>
      </c>
      <c r="G141" s="25" t="inlineStr">
        <is>
          <t>Careers site</t>
        </is>
      </c>
    </row>
    <row r="142">
      <c r="A142" s="21" t="n">
        <v>138</v>
      </c>
      <c r="B142" s="22" t="inlineStr">
        <is>
          <t>Fortune 101-200</t>
        </is>
      </c>
      <c r="C142" s="22" t="inlineStr">
        <is>
          <t>Oneok</t>
        </is>
      </c>
      <c r="D142" s="26" t="inlineStr">
        <is>
          <t>Not searched - no API</t>
        </is>
      </c>
      <c r="E142" s="21" t="inlineStr">
        <is>
          <t>not searched</t>
        </is>
      </c>
      <c r="F142" s="24" t="inlineStr">
        <is>
          <t>No public JSON endpoint found during discovery</t>
        </is>
      </c>
      <c r="G142" s="25" t="inlineStr">
        <is>
          <t>Careers site</t>
        </is>
      </c>
    </row>
    <row r="143">
      <c r="A143" s="21" t="n">
        <v>139</v>
      </c>
      <c r="B143" s="22" t="inlineStr">
        <is>
          <t>Fortune 101-200</t>
        </is>
      </c>
      <c r="C143" s="22" t="inlineStr">
        <is>
          <t>PayPal Holdings</t>
        </is>
      </c>
      <c r="D143" s="23" t="inlineStr">
        <is>
          <t>Searched (live API)</t>
        </is>
      </c>
      <c r="E143" s="21" t="n">
        <v>0</v>
      </c>
      <c r="F143" s="24" t="inlineStr">
        <is>
          <t>Eightfold API (paypal.eightfold.ai)</t>
        </is>
      </c>
      <c r="G143" s="25" t="inlineStr">
        <is>
          <t>Careers site</t>
        </is>
      </c>
    </row>
    <row r="144">
      <c r="A144" s="21" t="n">
        <v>140</v>
      </c>
      <c r="B144" s="22" t="inlineStr">
        <is>
          <t>Fortune 101-200</t>
        </is>
      </c>
      <c r="C144" s="22" t="inlineStr">
        <is>
          <t>GuideWell Mutual Holding</t>
        </is>
      </c>
      <c r="D144" s="23" t="inlineStr">
        <is>
          <t>Searched (live API)</t>
        </is>
      </c>
      <c r="E144" s="21" t="n">
        <v>1</v>
      </c>
      <c r="F144" s="24" t="inlineStr">
        <is>
          <t>Oracle Cloud recruiting API (fa-etum-saasfaprod1.fa.ocs.oraclecloud.com, CX_1)</t>
        </is>
      </c>
      <c r="G144" s="25" t="inlineStr">
        <is>
          <t>Careers site</t>
        </is>
      </c>
    </row>
    <row r="145">
      <c r="A145" s="21" t="n">
        <v>141</v>
      </c>
      <c r="B145" s="22" t="inlineStr">
        <is>
          <t>Fortune 101-200</t>
        </is>
      </c>
      <c r="C145" s="22" t="inlineStr">
        <is>
          <t>Mastercard</t>
        </is>
      </c>
      <c r="D145" s="23" t="inlineStr">
        <is>
          <t>Searched (live API)</t>
        </is>
      </c>
      <c r="E145" s="21" t="n">
        <v>0</v>
      </c>
      <c r="F145" s="24" t="inlineStr">
        <is>
          <t>Workday API (mastercard.wd1/CorporateCareers)</t>
        </is>
      </c>
      <c r="G145" s="25" t="inlineStr">
        <is>
          <t>Careers site</t>
        </is>
      </c>
    </row>
    <row r="146">
      <c r="A146" s="21" t="n">
        <v>142</v>
      </c>
      <c r="B146" s="22" t="inlineStr">
        <is>
          <t>Fortune 101-200</t>
        </is>
      </c>
      <c r="C146" s="22" t="inlineStr">
        <is>
          <t>Nucor</t>
        </is>
      </c>
      <c r="D146" s="26" t="inlineStr">
        <is>
          <t>Not searched - no API</t>
        </is>
      </c>
      <c r="E146" s="21" t="inlineStr">
        <is>
          <t>not searched</t>
        </is>
      </c>
      <c r="F146" s="24" t="inlineStr">
        <is>
          <t>No public JSON endpoint found during discovery</t>
        </is>
      </c>
      <c r="G146" s="25" t="inlineStr">
        <is>
          <t>Careers site</t>
        </is>
      </c>
    </row>
    <row r="147">
      <c r="A147" s="21" t="n">
        <v>143</v>
      </c>
      <c r="B147" s="22" t="inlineStr">
        <is>
          <t>Fortune 101-200</t>
        </is>
      </c>
      <c r="C147" s="22" t="inlineStr">
        <is>
          <t>Apollo Global Management</t>
        </is>
      </c>
      <c r="D147" s="23" t="inlineStr">
        <is>
          <t>Searched (live API)</t>
        </is>
      </c>
      <c r="E147" s="21" t="n">
        <v>0</v>
      </c>
      <c r="F147" s="24" t="inlineStr">
        <is>
          <t>Workday API (athene.wd5/Apollo_Careers)</t>
        </is>
      </c>
      <c r="G147" s="25" t="inlineStr">
        <is>
          <t>Careers site</t>
        </is>
      </c>
    </row>
    <row r="148">
      <c r="A148" s="21" t="n">
        <v>144</v>
      </c>
      <c r="B148" s="22" t="inlineStr">
        <is>
          <t>Fortune 101-200</t>
        </is>
      </c>
      <c r="C148" s="22" t="inlineStr">
        <is>
          <t>Penske Automotive Group</t>
        </is>
      </c>
      <c r="D148" s="26" t="inlineStr">
        <is>
          <t>Not searched - no API</t>
        </is>
      </c>
      <c r="E148" s="21" t="inlineStr">
        <is>
          <t>not searched</t>
        </is>
      </c>
      <c r="F148" s="24" t="inlineStr">
        <is>
          <t>No public JSON endpoint found during discovery</t>
        </is>
      </c>
      <c r="G148" s="25" t="inlineStr">
        <is>
          <t>Careers site</t>
        </is>
      </c>
    </row>
    <row r="149">
      <c r="A149" s="21" t="n">
        <v>145</v>
      </c>
      <c r="B149" s="22" t="inlineStr">
        <is>
          <t>Fortune 101-200</t>
        </is>
      </c>
      <c r="C149" s="22" t="inlineStr">
        <is>
          <t>Duke Energy</t>
        </is>
      </c>
      <c r="D149" s="23" t="inlineStr">
        <is>
          <t>Searched (live API)</t>
        </is>
      </c>
      <c r="E149" s="21" t="n">
        <v>0</v>
      </c>
      <c r="F149" s="24" t="inlineStr">
        <is>
          <t>Workday API (dukeenergy.wd1/search)</t>
        </is>
      </c>
      <c r="G149" s="25" t="inlineStr">
        <is>
          <t>Careers site</t>
        </is>
      </c>
    </row>
    <row r="150">
      <c r="A150" s="21" t="n">
        <v>146</v>
      </c>
      <c r="B150" s="22" t="inlineStr">
        <is>
          <t>Fortune 101-200</t>
        </is>
      </c>
      <c r="C150" s="22" t="inlineStr">
        <is>
          <t>United Natural Foods</t>
        </is>
      </c>
      <c r="D150" s="26" t="inlineStr">
        <is>
          <t>Not searched - no API</t>
        </is>
      </c>
      <c r="E150" s="21" t="inlineStr">
        <is>
          <t>not searched</t>
        </is>
      </c>
      <c r="F150" s="24" t="inlineStr">
        <is>
          <t>No public JSON endpoint found during discovery</t>
        </is>
      </c>
      <c r="G150" s="25" t="inlineStr">
        <is>
          <t>Careers site</t>
        </is>
      </c>
    </row>
    <row r="151">
      <c r="A151" s="21" t="n">
        <v>147</v>
      </c>
      <c r="B151" s="22" t="inlineStr">
        <is>
          <t>Fortune 101-200</t>
        </is>
      </c>
      <c r="C151" s="22" t="inlineStr">
        <is>
          <t>Ferguson Enterprises</t>
        </is>
      </c>
      <c r="D151" s="23" t="inlineStr">
        <is>
          <t>Searched (live API)</t>
        </is>
      </c>
      <c r="E151" s="21" t="n">
        <v>0</v>
      </c>
      <c r="F151" s="24" t="inlineStr">
        <is>
          <t>Workday API (ferguson.wd1/Ferguson_Experienced)</t>
        </is>
      </c>
      <c r="G151" s="25" t="inlineStr">
        <is>
          <t>Careers site</t>
        </is>
      </c>
    </row>
    <row r="152">
      <c r="A152" s="21" t="n">
        <v>148</v>
      </c>
      <c r="B152" s="22" t="inlineStr">
        <is>
          <t>Fortune 101-200</t>
        </is>
      </c>
      <c r="C152" s="22" t="inlineStr">
        <is>
          <t>Arrow Electronics</t>
        </is>
      </c>
      <c r="D152" s="23" t="inlineStr">
        <is>
          <t>Searched (live API)</t>
        </is>
      </c>
      <c r="E152" s="21" t="n">
        <v>0</v>
      </c>
      <c r="F152" s="24" t="inlineStr">
        <is>
          <t>Workday API (arrow.wd1/AC)</t>
        </is>
      </c>
      <c r="G152" s="25" t="inlineStr">
        <is>
          <t>Careers site</t>
        </is>
      </c>
    </row>
    <row r="153">
      <c r="A153" s="21" t="n">
        <v>149</v>
      </c>
      <c r="B153" s="22" t="inlineStr">
        <is>
          <t>Fortune 101-200</t>
        </is>
      </c>
      <c r="C153" s="22" t="inlineStr">
        <is>
          <t>NRG Energy</t>
        </is>
      </c>
      <c r="D153" s="26" t="inlineStr">
        <is>
          <t>Not searched - no API</t>
        </is>
      </c>
      <c r="E153" s="21" t="inlineStr">
        <is>
          <t>not searched</t>
        </is>
      </c>
      <c r="F153" s="24" t="inlineStr">
        <is>
          <t>No public JSON endpoint found during discovery</t>
        </is>
      </c>
      <c r="G153" s="25" t="inlineStr">
        <is>
          <t>Careers site</t>
        </is>
      </c>
    </row>
    <row r="154">
      <c r="A154" s="21" t="n">
        <v>150</v>
      </c>
      <c r="B154" s="22" t="inlineStr">
        <is>
          <t>Fortune 101-200</t>
        </is>
      </c>
      <c r="C154" s="22" t="inlineStr">
        <is>
          <t>Truist Financial</t>
        </is>
      </c>
      <c r="D154" s="26" t="inlineStr">
        <is>
          <t>Not searched - endpoint failed</t>
        </is>
      </c>
      <c r="E154" s="21" t="inlineStr">
        <is>
          <t>not searched</t>
        </is>
      </c>
      <c r="F154" s="24" t="inlineStr">
        <is>
          <t>Phenom endpoint on careers.truist.com did not respond (HTTP 500 / not a jobs API)</t>
        </is>
      </c>
      <c r="G154" s="25" t="inlineStr">
        <is>
          <t>Careers site</t>
        </is>
      </c>
    </row>
    <row r="155">
      <c r="A155" s="21" t="n">
        <v>151</v>
      </c>
      <c r="B155" s="22" t="inlineStr">
        <is>
          <t>Fortune 101-200</t>
        </is>
      </c>
      <c r="C155" s="22" t="inlineStr">
        <is>
          <t>Jabil</t>
        </is>
      </c>
      <c r="D155" s="26" t="inlineStr">
        <is>
          <t>Not searched - no API</t>
        </is>
      </c>
      <c r="E155" s="21" t="inlineStr">
        <is>
          <t>not searched</t>
        </is>
      </c>
      <c r="F155" s="24" t="inlineStr">
        <is>
          <t>No public JSON endpoint found during discovery</t>
        </is>
      </c>
      <c r="G155" s="25" t="inlineStr">
        <is>
          <t>Careers site</t>
        </is>
      </c>
    </row>
    <row r="156">
      <c r="A156" s="21" t="n">
        <v>152</v>
      </c>
      <c r="B156" s="22" t="inlineStr">
        <is>
          <t>Fortune 101-200</t>
        </is>
      </c>
      <c r="C156" s="22" t="inlineStr">
        <is>
          <t>Southern</t>
        </is>
      </c>
      <c r="D156" s="26" t="inlineStr">
        <is>
          <t>Not searched - no API</t>
        </is>
      </c>
      <c r="E156" s="21" t="inlineStr">
        <is>
          <t>not searched</t>
        </is>
      </c>
      <c r="F156" s="24" t="inlineStr">
        <is>
          <t>No public JSON endpoint found during discovery</t>
        </is>
      </c>
      <c r="G156" s="25" t="inlineStr">
        <is>
          <t>Careers site</t>
        </is>
      </c>
    </row>
    <row r="157">
      <c r="A157" s="21" t="n">
        <v>153</v>
      </c>
      <c r="B157" s="22" t="inlineStr">
        <is>
          <t>Fortune 101-200</t>
        </is>
      </c>
      <c r="C157" s="22" t="inlineStr">
        <is>
          <t>Gilead Sciences</t>
        </is>
      </c>
      <c r="D157" s="23" t="inlineStr">
        <is>
          <t>Searched (live API)</t>
        </is>
      </c>
      <c r="E157" s="21" t="n">
        <v>0</v>
      </c>
      <c r="F157" s="24" t="inlineStr">
        <is>
          <t>Workday API (gilead.wd1/gileadcareers)</t>
        </is>
      </c>
      <c r="G157" s="25" t="inlineStr">
        <is>
          <t>Careers site</t>
        </is>
      </c>
    </row>
    <row r="158">
      <c r="A158" s="21" t="n">
        <v>154</v>
      </c>
      <c r="B158" s="22" t="inlineStr">
        <is>
          <t>Fortune 101-200</t>
        </is>
      </c>
      <c r="C158" s="22" t="inlineStr">
        <is>
          <t>PBF Energy</t>
        </is>
      </c>
      <c r="D158" s="26" t="inlineStr">
        <is>
          <t>Not searched - no API</t>
        </is>
      </c>
      <c r="E158" s="21" t="inlineStr">
        <is>
          <t>not searched</t>
        </is>
      </c>
      <c r="F158" s="24" t="inlineStr">
        <is>
          <t>No public JSON endpoint found during discovery</t>
        </is>
      </c>
      <c r="G158" s="25" t="inlineStr">
        <is>
          <t>Careers site</t>
        </is>
      </c>
    </row>
    <row r="159">
      <c r="A159" s="21" t="n">
        <v>155</v>
      </c>
      <c r="B159" s="22" t="inlineStr">
        <is>
          <t>Fortune 101-200</t>
        </is>
      </c>
      <c r="C159" s="22" t="inlineStr">
        <is>
          <t>Paramount Skydance</t>
        </is>
      </c>
      <c r="D159" s="26" t="inlineStr">
        <is>
          <t>Not searched - no API</t>
        </is>
      </c>
      <c r="E159" s="21" t="inlineStr">
        <is>
          <t>not searched</t>
        </is>
      </c>
      <c r="F159" s="24" t="inlineStr">
        <is>
          <t>No public JSON endpoint found during discovery</t>
        </is>
      </c>
      <c r="G159" s="25" t="inlineStr">
        <is>
          <t>Careers site</t>
        </is>
      </c>
    </row>
    <row r="160">
      <c r="A160" s="21" t="n">
        <v>156</v>
      </c>
      <c r="B160" s="22" t="inlineStr">
        <is>
          <t>Fortune 101-200</t>
        </is>
      </c>
      <c r="C160" s="22" t="inlineStr">
        <is>
          <t>KKR</t>
        </is>
      </c>
      <c r="D160" s="26" t="inlineStr">
        <is>
          <t>Not searched - no API</t>
        </is>
      </c>
      <c r="E160" s="21" t="inlineStr">
        <is>
          <t>not searched</t>
        </is>
      </c>
      <c r="F160" s="24" t="inlineStr">
        <is>
          <t>No public JSON endpoint found during discovery</t>
        </is>
      </c>
      <c r="G160" s="25" t="inlineStr">
        <is>
          <t>Careers site</t>
        </is>
      </c>
    </row>
    <row r="161">
      <c r="A161" s="21" t="n">
        <v>157</v>
      </c>
      <c r="B161" s="22" t="inlineStr">
        <is>
          <t>Fortune 101-200</t>
        </is>
      </c>
      <c r="C161" s="22" t="inlineStr">
        <is>
          <t>Quanta Services</t>
        </is>
      </c>
      <c r="D161" s="26" t="inlineStr">
        <is>
          <t>Not searched - no API</t>
        </is>
      </c>
      <c r="E161" s="21" t="inlineStr">
        <is>
          <t>not searched</t>
        </is>
      </c>
      <c r="F161" s="24" t="inlineStr">
        <is>
          <t>No public JSON endpoint found during discovery</t>
        </is>
      </c>
      <c r="G161" s="25" t="inlineStr">
        <is>
          <t>Careers site</t>
        </is>
      </c>
    </row>
    <row r="162">
      <c r="A162" s="21" t="n">
        <v>158</v>
      </c>
      <c r="B162" s="22" t="inlineStr">
        <is>
          <t>Fortune 101-200</t>
        </is>
      </c>
      <c r="C162" s="22" t="inlineStr">
        <is>
          <t>Paccar</t>
        </is>
      </c>
      <c r="D162" s="26" t="inlineStr">
        <is>
          <t>Not searched - no API</t>
        </is>
      </c>
      <c r="E162" s="21" t="inlineStr">
        <is>
          <t>not searched</t>
        </is>
      </c>
      <c r="F162" s="24" t="inlineStr">
        <is>
          <t>No public JSON endpoint found during discovery</t>
        </is>
      </c>
      <c r="G162" s="25" t="inlineStr">
        <is>
          <t>Careers site</t>
        </is>
      </c>
    </row>
    <row r="163">
      <c r="A163" s="21" t="n">
        <v>159</v>
      </c>
      <c r="B163" s="22" t="inlineStr">
        <is>
          <t>Fortune 101-200</t>
        </is>
      </c>
      <c r="C163" s="22" t="inlineStr">
        <is>
          <t>Medline</t>
        </is>
      </c>
      <c r="D163" s="26" t="inlineStr">
        <is>
          <t>Not searched - no API</t>
        </is>
      </c>
      <c r="E163" s="21" t="inlineStr">
        <is>
          <t>not searched</t>
        </is>
      </c>
      <c r="F163" s="24" t="inlineStr">
        <is>
          <t>No public JSON endpoint found during discovery</t>
        </is>
      </c>
      <c r="G163" s="25" t="inlineStr">
        <is>
          <t>Careers site</t>
        </is>
      </c>
    </row>
    <row r="164">
      <c r="A164" s="21" t="n">
        <v>160</v>
      </c>
      <c r="B164" s="22" t="inlineStr">
        <is>
          <t>Fortune 101-200</t>
        </is>
      </c>
      <c r="C164" s="22" t="inlineStr">
        <is>
          <t>Applied Materials</t>
        </is>
      </c>
      <c r="D164" s="23" t="inlineStr">
        <is>
          <t>Searched (live API)</t>
        </is>
      </c>
      <c r="E164" s="21" t="n">
        <v>0</v>
      </c>
      <c r="F164" s="24" t="inlineStr">
        <is>
          <t>Workday API (amat.wd1/External)</t>
        </is>
      </c>
      <c r="G164" s="25" t="inlineStr">
        <is>
          <t>Careers site</t>
        </is>
      </c>
    </row>
    <row r="165">
      <c r="A165" s="21" t="n">
        <v>161</v>
      </c>
      <c r="B165" s="22" t="inlineStr">
        <is>
          <t>Fortune 101-200</t>
        </is>
      </c>
      <c r="C165" s="22" t="inlineStr">
        <is>
          <t>Hartford Insurance Group</t>
        </is>
      </c>
      <c r="D165" s="23" t="inlineStr">
        <is>
          <t>Searched (live API)</t>
        </is>
      </c>
      <c r="E165" s="21" t="n">
        <v>0</v>
      </c>
      <c r="F165" s="24" t="inlineStr">
        <is>
          <t>Workday API (thehartford.wd5/Careers_External)</t>
        </is>
      </c>
      <c r="G165" s="25" t="inlineStr">
        <is>
          <t>Careers site</t>
        </is>
      </c>
    </row>
    <row r="166">
      <c r="A166" s="21" t="n">
        <v>162</v>
      </c>
      <c r="B166" s="22" t="inlineStr">
        <is>
          <t>Fortune 101-200</t>
        </is>
      </c>
      <c r="C166" s="22" t="inlineStr">
        <is>
          <t>CarMax</t>
        </is>
      </c>
      <c r="D166" s="23" t="inlineStr">
        <is>
          <t>Searched (live API)</t>
        </is>
      </c>
      <c r="E166" s="21" t="n">
        <v>0</v>
      </c>
      <c r="F166" s="24" t="inlineStr">
        <is>
          <t>Workday API (carmax.wd1/External)</t>
        </is>
      </c>
      <c r="G166" s="25" t="inlineStr">
        <is>
          <t>Careers site</t>
        </is>
      </c>
    </row>
    <row r="167">
      <c r="A167" s="21" t="n">
        <v>163</v>
      </c>
      <c r="B167" s="22" t="inlineStr">
        <is>
          <t>Fortune 101-200</t>
        </is>
      </c>
      <c r="C167" s="22" t="inlineStr">
        <is>
          <t>Southwest Airlines</t>
        </is>
      </c>
      <c r="D167" s="23" t="inlineStr">
        <is>
          <t>Searched (live API)</t>
        </is>
      </c>
      <c r="E167" s="21" t="n">
        <v>0</v>
      </c>
      <c r="F167" s="24" t="inlineStr">
        <is>
          <t>Workday API (swa.wd1/External)</t>
        </is>
      </c>
      <c r="G167" s="25" t="inlineStr">
        <is>
          <t>Careers site</t>
        </is>
      </c>
    </row>
    <row r="168">
      <c r="A168" s="21" t="n">
        <v>164</v>
      </c>
      <c r="B168" s="22" t="inlineStr">
        <is>
          <t>Fortune 101-200</t>
        </is>
      </c>
      <c r="C168" s="22" t="inlineStr">
        <is>
          <t>Baker Hughes</t>
        </is>
      </c>
      <c r="D168" s="26" t="inlineStr">
        <is>
          <t>Not searched - no API</t>
        </is>
      </c>
      <c r="E168" s="21" t="inlineStr">
        <is>
          <t>not searched</t>
        </is>
      </c>
      <c r="F168" s="24" t="inlineStr">
        <is>
          <t>No public JSON endpoint found during discovery</t>
        </is>
      </c>
      <c r="G168" s="25" t="inlineStr">
        <is>
          <t>Careers site</t>
        </is>
      </c>
    </row>
    <row r="169">
      <c r="A169" s="21" t="n">
        <v>165</v>
      </c>
      <c r="B169" s="22" t="inlineStr">
        <is>
          <t>Fortune 101-200</t>
        </is>
      </c>
      <c r="C169" s="22" t="inlineStr">
        <is>
          <t>Charles Schwab</t>
        </is>
      </c>
      <c r="D169" s="26" t="inlineStr">
        <is>
          <t>Not searched - no API</t>
        </is>
      </c>
      <c r="E169" s="21" t="inlineStr">
        <is>
          <t>not searched</t>
        </is>
      </c>
      <c r="F169" s="24" t="inlineStr">
        <is>
          <t>No public JSON endpoint found during discovery</t>
        </is>
      </c>
      <c r="G169" s="25" t="inlineStr">
        <is>
          <t>Careers site</t>
        </is>
      </c>
    </row>
    <row r="170">
      <c r="A170" s="21" t="n">
        <v>166</v>
      </c>
      <c r="B170" s="22" t="inlineStr">
        <is>
          <t>Fortune 101-200</t>
        </is>
      </c>
      <c r="C170" s="22" t="inlineStr">
        <is>
          <t>AutoNation</t>
        </is>
      </c>
      <c r="D170" s="26" t="inlineStr">
        <is>
          <t>Not searched - endpoint failed</t>
        </is>
      </c>
      <c r="E170" s="21" t="inlineStr">
        <is>
          <t>not searched</t>
        </is>
      </c>
      <c r="F170" s="24" t="inlineStr">
        <is>
          <t>Phenom endpoint on careers.autonation.com did not respond (HTTP 500 / not a jobs API)</t>
        </is>
      </c>
      <c r="G170" s="25" t="inlineStr">
        <is>
          <t>Careers site</t>
        </is>
      </c>
    </row>
    <row r="171">
      <c r="A171" s="21" t="n">
        <v>167</v>
      </c>
      <c r="B171" s="22" t="inlineStr">
        <is>
          <t>Fortune 101-200</t>
        </is>
      </c>
      <c r="C171" s="22" t="inlineStr">
        <is>
          <t>NextEra Energy</t>
        </is>
      </c>
      <c r="D171" s="26" t="inlineStr">
        <is>
          <t>Not searched - no API</t>
        </is>
      </c>
      <c r="E171" s="21" t="inlineStr">
        <is>
          <t>not searched</t>
        </is>
      </c>
      <c r="F171" s="24" t="inlineStr">
        <is>
          <t>No public JSON endpoint found during discovery</t>
        </is>
      </c>
      <c r="G171" s="25" t="inlineStr">
        <is>
          <t>Careers site</t>
        </is>
      </c>
    </row>
    <row r="172">
      <c r="A172" s="21" t="n">
        <v>168</v>
      </c>
      <c r="B172" s="22" t="inlineStr">
        <is>
          <t>Fortune 101-200</t>
        </is>
      </c>
      <c r="C172" s="22" t="inlineStr">
        <is>
          <t>Marsh &amp; McLennan</t>
        </is>
      </c>
      <c r="D172" s="26" t="inlineStr">
        <is>
          <t>Not searched - endpoint failed</t>
        </is>
      </c>
      <c r="E172" s="21" t="inlineStr">
        <is>
          <t>not searched</t>
        </is>
      </c>
      <c r="F172" s="24" t="inlineStr">
        <is>
          <t>Phenom endpoint on careers.marshmclennan.com did not respond (HTTP 500 / not a jobs API)</t>
        </is>
      </c>
      <c r="G172" s="25" t="inlineStr">
        <is>
          <t>Careers site</t>
        </is>
      </c>
    </row>
    <row r="173">
      <c r="A173" s="21" t="n">
        <v>169</v>
      </c>
      <c r="B173" s="22" t="inlineStr">
        <is>
          <t>Fortune 101-200</t>
        </is>
      </c>
      <c r="C173" s="22" t="inlineStr">
        <is>
          <t>Booking Holdings</t>
        </is>
      </c>
      <c r="D173" s="26" t="inlineStr">
        <is>
          <t>Not searched - no API</t>
        </is>
      </c>
      <c r="E173" s="21" t="inlineStr">
        <is>
          <t>not searched</t>
        </is>
      </c>
      <c r="F173" s="24" t="inlineStr">
        <is>
          <t>No public JSON endpoint found during discovery</t>
        </is>
      </c>
      <c r="G173" s="25" t="inlineStr">
        <is>
          <t>Careers site</t>
        </is>
      </c>
    </row>
    <row r="174">
      <c r="A174" s="21" t="n">
        <v>170</v>
      </c>
      <c r="B174" s="22" t="inlineStr">
        <is>
          <t>Fortune 101-200</t>
        </is>
      </c>
      <c r="C174" s="22" t="inlineStr">
        <is>
          <t>McDonald's</t>
        </is>
      </c>
      <c r="D174" s="26" t="inlineStr">
        <is>
          <t>Not searched - no API</t>
        </is>
      </c>
      <c r="E174" s="21" t="inlineStr">
        <is>
          <t>not searched</t>
        </is>
      </c>
      <c r="F174" s="24" t="inlineStr">
        <is>
          <t>No public JSON endpoint found during discovery</t>
        </is>
      </c>
      <c r="G174" s="25" t="inlineStr">
        <is>
          <t>Careers site</t>
        </is>
      </c>
    </row>
    <row r="175">
      <c r="A175" s="21" t="n">
        <v>171</v>
      </c>
      <c r="B175" s="22" t="inlineStr">
        <is>
          <t>Fortune 101-200</t>
        </is>
      </c>
      <c r="C175" s="22" t="inlineStr">
        <is>
          <t>HF Sinclair</t>
        </is>
      </c>
      <c r="D175" s="26" t="inlineStr">
        <is>
          <t>Not searched - no API</t>
        </is>
      </c>
      <c r="E175" s="21" t="inlineStr">
        <is>
          <t>not searched</t>
        </is>
      </c>
      <c r="F175" s="24" t="inlineStr">
        <is>
          <t>No public JSON endpoint found during discovery</t>
        </is>
      </c>
      <c r="G175" s="25" t="inlineStr">
        <is>
          <t>Careers site</t>
        </is>
      </c>
    </row>
    <row r="176">
      <c r="A176" s="21" t="n">
        <v>172</v>
      </c>
      <c r="B176" s="22" t="inlineStr">
        <is>
          <t>Fortune 101-200</t>
        </is>
      </c>
      <c r="C176" s="22" t="inlineStr">
        <is>
          <t>AIG</t>
        </is>
      </c>
      <c r="D176" s="23" t="inlineStr">
        <is>
          <t>Searched (live API)</t>
        </is>
      </c>
      <c r="E176" s="21" t="n">
        <v>0</v>
      </c>
      <c r="F176" s="24" t="inlineStr">
        <is>
          <t>Workday API (aig.wd1/aig)</t>
        </is>
      </c>
      <c r="G176" s="25" t="inlineStr">
        <is>
          <t>Careers site</t>
        </is>
      </c>
    </row>
    <row r="177">
      <c r="A177" s="21" t="n">
        <v>173</v>
      </c>
      <c r="B177" s="22" t="inlineStr">
        <is>
          <t>Fortune 101-200</t>
        </is>
      </c>
      <c r="C177" s="22" t="inlineStr">
        <is>
          <t>Occidental Petroleum</t>
        </is>
      </c>
      <c r="D177" s="23" t="inlineStr">
        <is>
          <t>Searched (live API)</t>
        </is>
      </c>
      <c r="E177" s="21" t="n">
        <v>0</v>
      </c>
      <c r="F177" s="24" t="inlineStr">
        <is>
          <t>Workday API (oxy.wd5/Corporate)</t>
        </is>
      </c>
      <c r="G177" s="25" t="inlineStr">
        <is>
          <t>Careers site</t>
        </is>
      </c>
    </row>
    <row r="178">
      <c r="A178" s="21" t="n">
        <v>174</v>
      </c>
      <c r="B178" s="22" t="inlineStr">
        <is>
          <t>Fortune 101-200</t>
        </is>
      </c>
      <c r="C178" s="22" t="inlineStr">
        <is>
          <t>Marriott International</t>
        </is>
      </c>
      <c r="D178" s="23" t="inlineStr">
        <is>
          <t>Searched (live API)</t>
        </is>
      </c>
      <c r="E178" s="21" t="n">
        <v>0</v>
      </c>
      <c r="F178" s="24" t="inlineStr">
        <is>
          <t>Oracle Cloud recruiting API (ejwl.fa.us2.oraclecloud.com, CX_2)</t>
        </is>
      </c>
      <c r="G178" s="25" t="inlineStr">
        <is>
          <t>Careers site</t>
        </is>
      </c>
    </row>
    <row r="179">
      <c r="A179" s="21" t="n">
        <v>175</v>
      </c>
      <c r="B179" s="22" t="inlineStr">
        <is>
          <t>Fortune 101-200</t>
        </is>
      </c>
      <c r="C179" s="22" t="inlineStr">
        <is>
          <t>Jones Lang LaSalle</t>
        </is>
      </c>
      <c r="D179" s="23" t="inlineStr">
        <is>
          <t>Searched (live API)</t>
        </is>
      </c>
      <c r="E179" s="21" t="n">
        <v>0</v>
      </c>
      <c r="F179" s="24" t="inlineStr">
        <is>
          <t>Workday API (jll.wd1/jllcareers)</t>
        </is>
      </c>
      <c r="G179" s="25" t="inlineStr">
        <is>
          <t>Careers site</t>
        </is>
      </c>
    </row>
    <row r="180">
      <c r="A180" s="21" t="n">
        <v>176</v>
      </c>
      <c r="B180" s="22" t="inlineStr">
        <is>
          <t>Fortune 101-200</t>
        </is>
      </c>
      <c r="C180" s="22" t="inlineStr">
        <is>
          <t>International Paper</t>
        </is>
      </c>
      <c r="D180" s="23" t="inlineStr">
        <is>
          <t>Searched (live API)</t>
        </is>
      </c>
      <c r="E180" s="21" t="n">
        <v>0</v>
      </c>
      <c r="F180" s="24" t="inlineStr">
        <is>
          <t>Oracle Cloud recruiting API (iazbqy.fa.ocs.oraclecloud.com, CX_1)</t>
        </is>
      </c>
      <c r="G180" s="25" t="inlineStr">
        <is>
          <t>Careers site</t>
        </is>
      </c>
    </row>
    <row r="181">
      <c r="A181" s="21" t="n">
        <v>177</v>
      </c>
      <c r="B181" s="22" t="inlineStr">
        <is>
          <t>Fortune 101-200</t>
        </is>
      </c>
      <c r="C181" s="22" t="inlineStr">
        <is>
          <t>Freeport-McMoRan</t>
        </is>
      </c>
      <c r="D181" s="23" t="inlineStr">
        <is>
          <t>Searched (live API)</t>
        </is>
      </c>
      <c r="E181" s="21" t="n">
        <v>0</v>
      </c>
      <c r="F181" s="24" t="inlineStr">
        <is>
          <t>Eightfold API (fcx.eightfold.ai)</t>
        </is>
      </c>
      <c r="G181" s="25" t="inlineStr">
        <is>
          <t>Careers site</t>
        </is>
      </c>
    </row>
    <row r="182">
      <c r="A182" s="21" t="n">
        <v>178</v>
      </c>
      <c r="B182" s="22" t="inlineStr">
        <is>
          <t>Fortune 101-200</t>
        </is>
      </c>
      <c r="C182" s="22" t="inlineStr">
        <is>
          <t>Constellation Energy</t>
        </is>
      </c>
      <c r="D182" s="26" t="inlineStr">
        <is>
          <t>Not searched - no API</t>
        </is>
      </c>
      <c r="E182" s="21" t="inlineStr">
        <is>
          <t>not searched</t>
        </is>
      </c>
      <c r="F182" s="24" t="inlineStr">
        <is>
          <t>No public JSON endpoint found during discovery</t>
        </is>
      </c>
      <c r="G182" s="25" t="inlineStr">
        <is>
          <t>Careers site</t>
        </is>
      </c>
    </row>
    <row r="183">
      <c r="A183" s="21" t="n">
        <v>179</v>
      </c>
      <c r="B183" s="22" t="inlineStr">
        <is>
          <t>Fortune 101-200</t>
        </is>
      </c>
      <c r="C183" s="22" t="inlineStr">
        <is>
          <t>Waste Management</t>
        </is>
      </c>
      <c r="D183" s="23" t="inlineStr">
        <is>
          <t>Searched (live API)</t>
        </is>
      </c>
      <c r="E183" s="21" t="n">
        <v>1</v>
      </c>
      <c r="F183" s="24" t="inlineStr">
        <is>
          <t>Oracle Cloud recruiting API (emcm.fa.us2.oraclecloud.com, CX_4001)</t>
        </is>
      </c>
      <c r="G183" s="25" t="inlineStr">
        <is>
          <t>Careers site</t>
        </is>
      </c>
    </row>
    <row r="184">
      <c r="A184" s="21" t="n">
        <v>180</v>
      </c>
      <c r="B184" s="22" t="inlineStr">
        <is>
          <t>Fortune 101-200</t>
        </is>
      </c>
      <c r="C184" s="22" t="inlineStr">
        <is>
          <t>Live Nation Entertainment</t>
        </is>
      </c>
      <c r="D184" s="23" t="inlineStr">
        <is>
          <t>Searched (live API)</t>
        </is>
      </c>
      <c r="E184" s="21" t="n">
        <v>0</v>
      </c>
      <c r="F184" s="24" t="inlineStr">
        <is>
          <t>Workday API (livenation.wd503/LNExternalSite)</t>
        </is>
      </c>
      <c r="G184" s="25" t="inlineStr">
        <is>
          <t>Careers site</t>
        </is>
      </c>
    </row>
    <row r="185">
      <c r="A185" s="21" t="n">
        <v>181</v>
      </c>
      <c r="B185" s="22" t="inlineStr">
        <is>
          <t>Fortune 101-200</t>
        </is>
      </c>
      <c r="C185" s="22" t="inlineStr">
        <is>
          <t>Stryker</t>
        </is>
      </c>
      <c r="D185" s="23" t="inlineStr">
        <is>
          <t>Searched (live API)</t>
        </is>
      </c>
      <c r="E185" s="21" t="n">
        <v>0</v>
      </c>
      <c r="F185" s="24" t="inlineStr">
        <is>
          <t>Workday API (stryker.wd1/StrykerCareers)</t>
        </is>
      </c>
      <c r="G185" s="25" t="inlineStr">
        <is>
          <t>Careers site</t>
        </is>
      </c>
    </row>
    <row r="186">
      <c r="A186" s="21" t="n">
        <v>182</v>
      </c>
      <c r="B186" s="22" t="inlineStr">
        <is>
          <t>Fortune 101-200</t>
        </is>
      </c>
      <c r="C186" s="22" t="inlineStr">
        <is>
          <t>Dollar Tree</t>
        </is>
      </c>
      <c r="D186" s="23" t="inlineStr">
        <is>
          <t>Searched (live API)</t>
        </is>
      </c>
      <c r="E186" s="21" t="n">
        <v>1</v>
      </c>
      <c r="F186" s="24" t="inlineStr">
        <is>
          <t>Workday API (dollartree.wd5/dollartreeus)</t>
        </is>
      </c>
      <c r="G186" s="25" t="inlineStr">
        <is>
          <t>Careers site</t>
        </is>
      </c>
    </row>
    <row r="187">
      <c r="A187" s="21" t="n">
        <v>183</v>
      </c>
      <c r="B187" s="22" t="inlineStr">
        <is>
          <t>Fortune 101-200</t>
        </is>
      </c>
      <c r="C187" s="22" t="inlineStr">
        <is>
          <t>3M</t>
        </is>
      </c>
      <c r="D187" s="23" t="inlineStr">
        <is>
          <t>Searched (live API)</t>
        </is>
      </c>
      <c r="E187" s="21" t="n">
        <v>0</v>
      </c>
      <c r="F187" s="24" t="inlineStr">
        <is>
          <t>Workday API (3m.wd1/Search)</t>
        </is>
      </c>
      <c r="G187" s="25" t="inlineStr">
        <is>
          <t>Careers site</t>
        </is>
      </c>
    </row>
    <row r="188">
      <c r="A188" s="21" t="n">
        <v>184</v>
      </c>
      <c r="B188" s="22" t="inlineStr">
        <is>
          <t>Fortune 101-200</t>
        </is>
      </c>
      <c r="C188" s="22" t="inlineStr">
        <is>
          <t>Kraft Heinz</t>
        </is>
      </c>
      <c r="D188" s="23" t="inlineStr">
        <is>
          <t>Searched (live API)</t>
        </is>
      </c>
      <c r="E188" s="21" t="n">
        <v>0</v>
      </c>
      <c r="F188" s="24" t="inlineStr">
        <is>
          <t>Workday API (heinz.wd1/KraftHeinz_Careers)</t>
        </is>
      </c>
      <c r="G188" s="25" t="inlineStr">
        <is>
          <t>Careers site</t>
        </is>
      </c>
    </row>
    <row r="189">
      <c r="A189" s="21" t="n">
        <v>185</v>
      </c>
      <c r="B189" s="22" t="inlineStr">
        <is>
          <t>Fortune 101-200</t>
        </is>
      </c>
      <c r="C189" s="22" t="inlineStr">
        <is>
          <t>PG&amp;E</t>
        </is>
      </c>
      <c r="D189" s="26" t="inlineStr">
        <is>
          <t>Not searched - no API</t>
        </is>
      </c>
      <c r="E189" s="21" t="inlineStr">
        <is>
          <t>not searched</t>
        </is>
      </c>
      <c r="F189" s="24" t="inlineStr">
        <is>
          <t>No public JSON endpoint found during discovery</t>
        </is>
      </c>
      <c r="G189" s="25" t="inlineStr">
        <is>
          <t>Careers site</t>
        </is>
      </c>
    </row>
    <row r="190">
      <c r="A190" s="21" t="n">
        <v>186</v>
      </c>
      <c r="B190" s="22" t="inlineStr">
        <is>
          <t>Fortune 101-200</t>
        </is>
      </c>
      <c r="C190" s="22" t="inlineStr">
        <is>
          <t>Danaher</t>
        </is>
      </c>
      <c r="D190" s="26" t="inlineStr">
        <is>
          <t>Not searched - endpoint failed</t>
        </is>
      </c>
      <c r="E190" s="21" t="inlineStr">
        <is>
          <t>not searched</t>
        </is>
      </c>
      <c r="F190" s="24" t="inlineStr">
        <is>
          <t>Phenom endpoint on jobs.danaher.com did not respond (HTTP 500 / not a jobs API)</t>
        </is>
      </c>
      <c r="G190" s="25" t="inlineStr">
        <is>
          <t>Careers site</t>
        </is>
      </c>
    </row>
    <row r="191">
      <c r="A191" s="21" t="n">
        <v>187</v>
      </c>
      <c r="B191" s="22" t="inlineStr">
        <is>
          <t>Fortune 101-200</t>
        </is>
      </c>
      <c r="C191" s="22" t="inlineStr">
        <is>
          <t>Union Pacific</t>
        </is>
      </c>
      <c r="D191" s="26" t="inlineStr">
        <is>
          <t>Not searched - endpoint failed</t>
        </is>
      </c>
      <c r="E191" s="21" t="inlineStr">
        <is>
          <t>not searched</t>
        </is>
      </c>
      <c r="F191" s="24" t="inlineStr">
        <is>
          <t>Phenom endpoint on up.jobs did not respond (HTTP 500 / not a jobs API)</t>
        </is>
      </c>
      <c r="G191" s="25" t="inlineStr">
        <is>
          <t>Careers site</t>
        </is>
      </c>
    </row>
    <row r="192">
      <c r="A192" s="21" t="n">
        <v>188</v>
      </c>
      <c r="B192" s="22" t="inlineStr">
        <is>
          <t>Fortune 101-200</t>
        </is>
      </c>
      <c r="C192" s="22" t="inlineStr">
        <is>
          <t>Genuine Parts</t>
        </is>
      </c>
      <c r="D192" s="26" t="inlineStr">
        <is>
          <t>Not searched - no API</t>
        </is>
      </c>
      <c r="E192" s="21" t="inlineStr">
        <is>
          <t>not searched</t>
        </is>
      </c>
      <c r="F192" s="24" t="inlineStr">
        <is>
          <t>No public JSON endpoint found during discovery</t>
        </is>
      </c>
      <c r="G192" s="25" t="inlineStr">
        <is>
          <t>Careers site</t>
        </is>
      </c>
    </row>
    <row r="193">
      <c r="A193" s="21" t="n">
        <v>189</v>
      </c>
      <c r="B193" s="22" t="inlineStr">
        <is>
          <t>Fortune 101-200</t>
        </is>
      </c>
      <c r="C193" s="22" t="inlineStr">
        <is>
          <t>Exelon</t>
        </is>
      </c>
      <c r="D193" s="26" t="inlineStr">
        <is>
          <t>Not searched - no API</t>
        </is>
      </c>
      <c r="E193" s="21" t="inlineStr">
        <is>
          <t>not searched</t>
        </is>
      </c>
      <c r="F193" s="24" t="inlineStr">
        <is>
          <t>No public JSON endpoint found during discovery</t>
        </is>
      </c>
      <c r="G193" s="25" t="inlineStr">
        <is>
          <t>Careers site</t>
        </is>
      </c>
    </row>
    <row r="194">
      <c r="A194" s="21" t="n">
        <v>190</v>
      </c>
      <c r="B194" s="22" t="inlineStr">
        <is>
          <t>Fortune 101-200</t>
        </is>
      </c>
      <c r="C194" s="22" t="inlineStr">
        <is>
          <t>BlackRock</t>
        </is>
      </c>
      <c r="D194" s="23" t="inlineStr">
        <is>
          <t>Searched (live API)</t>
        </is>
      </c>
      <c r="E194" s="21" t="n">
        <v>1</v>
      </c>
      <c r="F194" s="24" t="inlineStr">
        <is>
          <t>Workday API (blackrock.wd1/BlackRock_Professional)</t>
        </is>
      </c>
      <c r="G194" s="25" t="inlineStr">
        <is>
          <t>Careers site</t>
        </is>
      </c>
    </row>
    <row r="195">
      <c r="A195" s="21" t="n">
        <v>191</v>
      </c>
      <c r="B195" s="22" t="inlineStr">
        <is>
          <t>Fortune 101-200</t>
        </is>
      </c>
      <c r="C195" s="22" t="inlineStr">
        <is>
          <t>Block</t>
        </is>
      </c>
      <c r="D195" s="26" t="inlineStr">
        <is>
          <t>Not searched - no API</t>
        </is>
      </c>
      <c r="E195" s="21" t="inlineStr">
        <is>
          <t>not searched</t>
        </is>
      </c>
      <c r="F195" s="24" t="inlineStr">
        <is>
          <t>No public JSON endpoint found during discovery</t>
        </is>
      </c>
      <c r="G195" s="25" t="inlineStr">
        <is>
          <t>Careers site</t>
        </is>
      </c>
    </row>
    <row r="196">
      <c r="A196" s="21" t="n">
        <v>192</v>
      </c>
      <c r="B196" s="22" t="inlineStr">
        <is>
          <t>Fortune 101-200</t>
        </is>
      </c>
      <c r="C196" s="22" t="inlineStr">
        <is>
          <t>Adobe</t>
        </is>
      </c>
      <c r="D196" s="26" t="inlineStr">
        <is>
          <t>Not searched - endpoint failed</t>
        </is>
      </c>
      <c r="E196" s="21" t="inlineStr">
        <is>
          <t>not searched</t>
        </is>
      </c>
      <c r="F196" s="24" t="inlineStr">
        <is>
          <t>Phenom endpoint on careers.adobe.com did not respond (HTTP 500 / not a jobs API)</t>
        </is>
      </c>
      <c r="G196" s="25" t="inlineStr">
        <is>
          <t>Careers site</t>
        </is>
      </c>
    </row>
    <row r="197">
      <c r="A197" s="21" t="n">
        <v>193</v>
      </c>
      <c r="B197" s="22" t="inlineStr">
        <is>
          <t>Fortune 101-200</t>
        </is>
      </c>
      <c r="C197" s="22" t="inlineStr">
        <is>
          <t>Reinsurance Group of America</t>
        </is>
      </c>
      <c r="D197" s="26" t="inlineStr">
        <is>
          <t>Not searched - no API</t>
        </is>
      </c>
      <c r="E197" s="21" t="inlineStr">
        <is>
          <t>not searched</t>
        </is>
      </c>
      <c r="F197" s="24" t="inlineStr">
        <is>
          <t>No public JSON endpoint found during discovery</t>
        </is>
      </c>
      <c r="G197" s="25" t="inlineStr">
        <is>
          <t>Careers site</t>
        </is>
      </c>
    </row>
    <row r="198">
      <c r="A198" s="21" t="n">
        <v>194</v>
      </c>
      <c r="B198" s="22" t="inlineStr">
        <is>
          <t>Fortune 101-200</t>
        </is>
      </c>
      <c r="C198" s="22" t="inlineStr">
        <is>
          <t>Sherwin-Williams</t>
        </is>
      </c>
      <c r="D198" s="23" t="inlineStr">
        <is>
          <t>Searched (live API)</t>
        </is>
      </c>
      <c r="E198" s="21" t="n">
        <v>0</v>
      </c>
      <c r="F198" s="24" t="inlineStr">
        <is>
          <t>Oracle Cloud recruiting API (ejhp.fa.us6.oraclecloud.com, CX_1)</t>
        </is>
      </c>
      <c r="G198" s="25" t="inlineStr">
        <is>
          <t>Careers site</t>
        </is>
      </c>
    </row>
    <row r="199">
      <c r="A199" s="21" t="n">
        <v>195</v>
      </c>
      <c r="B199" s="22" t="inlineStr">
        <is>
          <t>Fortune 101-200</t>
        </is>
      </c>
      <c r="C199" s="22" t="inlineStr">
        <is>
          <t>WESCO International</t>
        </is>
      </c>
      <c r="D199" s="26" t="inlineStr">
        <is>
          <t>Not searched - no API</t>
        </is>
      </c>
      <c r="E199" s="21" t="inlineStr">
        <is>
          <t>not searched</t>
        </is>
      </c>
      <c r="F199" s="24" t="inlineStr">
        <is>
          <t>No public JSON endpoint found during discovery</t>
        </is>
      </c>
      <c r="G199" s="25" t="inlineStr">
        <is>
          <t>Careers site</t>
        </is>
      </c>
    </row>
    <row r="200">
      <c r="A200" s="21" t="n">
        <v>196</v>
      </c>
      <c r="B200" s="22" t="inlineStr">
        <is>
          <t>Fortune 101-200</t>
        </is>
      </c>
      <c r="C200" s="22" t="inlineStr">
        <is>
          <t>Lear</t>
        </is>
      </c>
      <c r="D200" s="26" t="inlineStr">
        <is>
          <t>Not searched - no API</t>
        </is>
      </c>
      <c r="E200" s="21" t="inlineStr">
        <is>
          <t>not searched</t>
        </is>
      </c>
      <c r="F200" s="24" t="inlineStr">
        <is>
          <t>No public JSON endpoint found during discovery</t>
        </is>
      </c>
      <c r="G200" s="25" t="inlineStr">
        <is>
          <t>Careers site</t>
        </is>
      </c>
    </row>
    <row r="201">
      <c r="A201" s="21" t="n">
        <v>197</v>
      </c>
      <c r="B201" s="22" t="inlineStr">
        <is>
          <t>Fortune 101-200</t>
        </is>
      </c>
      <c r="C201" s="22" t="inlineStr">
        <is>
          <t>Synchrony Financial</t>
        </is>
      </c>
      <c r="D201" s="23" t="inlineStr">
        <is>
          <t>Searched (live API)</t>
        </is>
      </c>
      <c r="E201" s="21" t="n">
        <v>0</v>
      </c>
      <c r="F201" s="24" t="inlineStr">
        <is>
          <t>Workday API (synchronyfinancial.wd5/careers)</t>
        </is>
      </c>
      <c r="G201" s="25" t="inlineStr">
        <is>
          <t>Careers site</t>
        </is>
      </c>
    </row>
    <row r="202">
      <c r="A202" s="21" t="n">
        <v>198</v>
      </c>
      <c r="B202" s="22" t="inlineStr">
        <is>
          <t>Fortune 101-200</t>
        </is>
      </c>
      <c r="C202" s="22" t="inlineStr">
        <is>
          <t>Amphenol</t>
        </is>
      </c>
      <c r="D202" s="26" t="inlineStr">
        <is>
          <t>Not searched - no API</t>
        </is>
      </c>
      <c r="E202" s="21" t="inlineStr">
        <is>
          <t>not searched</t>
        </is>
      </c>
      <c r="F202" s="24" t="inlineStr">
        <is>
          <t>No public JSON endpoint found during discovery</t>
        </is>
      </c>
      <c r="G202" s="25" t="inlineStr">
        <is>
          <t>Careers site</t>
        </is>
      </c>
    </row>
    <row r="203">
      <c r="A203" s="21" t="n">
        <v>199</v>
      </c>
      <c r="B203" s="22" t="inlineStr">
        <is>
          <t>Fortune 101-200</t>
        </is>
      </c>
      <c r="C203" s="22" t="inlineStr">
        <is>
          <t>Ross Stores</t>
        </is>
      </c>
      <c r="D203" s="26" t="inlineStr">
        <is>
          <t>Not searched - no API</t>
        </is>
      </c>
      <c r="E203" s="21" t="inlineStr">
        <is>
          <t>not searched</t>
        </is>
      </c>
      <c r="F203" s="24" t="inlineStr">
        <is>
          <t>No public JSON endpoint found during discovery</t>
        </is>
      </c>
      <c r="G203" s="25" t="inlineStr">
        <is>
          <t>Careers site</t>
        </is>
      </c>
    </row>
    <row r="204">
      <c r="A204" s="21" t="n">
        <v>200</v>
      </c>
      <c r="B204" s="22" t="inlineStr">
        <is>
          <t>Fortune 101-200</t>
        </is>
      </c>
      <c r="C204" s="22" t="inlineStr">
        <is>
          <t>Newmont</t>
        </is>
      </c>
      <c r="D204" s="26" t="inlineStr">
        <is>
          <t>Not searched - endpoint failed</t>
        </is>
      </c>
      <c r="E204" s="21" t="inlineStr">
        <is>
          <t>not searched</t>
        </is>
      </c>
      <c r="F204" s="24" t="inlineStr">
        <is>
          <t>Phenom endpoint on jobs.newmont.com did not respond (HTTP 500 / not a jobs API)</t>
        </is>
      </c>
      <c r="G204" s="25" t="inlineStr">
        <is>
          <t>Careers site</t>
        </is>
      </c>
    </row>
    <row r="206">
      <c r="A206" s="18" t="inlineStr">
        <is>
          <t>Coverage summary</t>
        </is>
      </c>
    </row>
    <row r="207">
      <c r="A207" s="19" t="inlineStr">
        <is>
          <t>Searched via live API</t>
        </is>
      </c>
      <c r="B207" s="20">
        <f>COUNTIF(D5:D204,"Searched (live API)")</f>
        <v/>
      </c>
    </row>
    <row r="208">
      <c r="A208" s="19" t="inlineStr">
        <is>
          <t>Not searched - no public API</t>
        </is>
      </c>
      <c r="B208" s="20">
        <f>COUNTIF(D5:D204,"Not searched - no API")</f>
        <v/>
      </c>
    </row>
    <row r="209">
      <c r="A209" s="19" t="inlineStr">
        <is>
          <t>Not searched - endpoint failed</t>
        </is>
      </c>
      <c r="B209" s="20">
        <f>COUNTIF(D5:D204,"Not searched - endpoint failed")</f>
        <v/>
      </c>
    </row>
    <row r="210">
      <c r="A210" s="19" t="inlineStr">
        <is>
          <t>Not searched - blocked</t>
        </is>
      </c>
      <c r="B210" s="20">
        <f>COUNTIF(D5:D204,"Not searched - blocked")</f>
        <v/>
      </c>
    </row>
    <row r="211">
      <c r="A211" s="19" t="inlineStr">
        <is>
          <t>Total companies</t>
        </is>
      </c>
      <c r="B211" s="20">
        <f>COUNTA(C5:C204)</f>
        <v/>
      </c>
    </row>
  </sheetData>
  <autoFilter ref="A4:G204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  <hyperlink xmlns:r="http://schemas.openxmlformats.org/officeDocument/2006/relationships" ref="G199" r:id="rId195"/>
    <hyperlink xmlns:r="http://schemas.openxmlformats.org/officeDocument/2006/relationships" ref="G200" r:id="rId196"/>
    <hyperlink xmlns:r="http://schemas.openxmlformats.org/officeDocument/2006/relationships" ref="G201" r:id="rId197"/>
    <hyperlink xmlns:r="http://schemas.openxmlformats.org/officeDocument/2006/relationships" ref="G202" r:id="rId198"/>
    <hyperlink xmlns:r="http://schemas.openxmlformats.org/officeDocument/2006/relationships" ref="G203" r:id="rId199"/>
    <hyperlink xmlns:r="http://schemas.openxmlformats.org/officeDocument/2006/relationships" ref="G204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How this file was built - and what it does not cover</t>
        </is>
      </c>
    </row>
    <row r="3">
      <c r="A3" s="18" t="inlineStr">
        <is>
          <t>What you asked for</t>
        </is>
      </c>
    </row>
    <row r="4" ht="39" customHeight="1">
      <c r="A4" s="28" t="inlineStr">
        <is>
          <t>Data Analyst / Senior Data Analyst / Business Analyst roles (plus close title variants such as 'Sr. Data Analyst', 'Data Analyst II', 'Business Data Analyst') at Fortune 200 companies, US locations only, posted within the last 24-72 hours.</t>
        </is>
      </c>
    </row>
    <row r="5" ht="15" customHeight="1">
      <c r="A5" s="28" t="inlineStr"/>
    </row>
    <row r="6">
      <c r="A6" s="18" t="inlineStr">
        <is>
          <t>Where the data comes from</t>
        </is>
      </c>
    </row>
    <row r="7" ht="39" customHeight="1">
      <c r="A7" s="28" t="inlineStr">
        <is>
          <t>Every posting was read directly from the employer's own applicant-tracking system over its public JSON endpoint - not from a job aggregator and not from a search engine. Six platforms were used: Workday, Oracle Cloud Recruiting, Phenom, Eightfold, Amazon's own jobs API, and Greenhouse.</t>
        </is>
      </c>
    </row>
    <row r="8" ht="39" customHeight="1">
      <c r="A8" s="28" t="inlineStr">
        <is>
          <t>112 of the 200 companies were searched successfully. Posting dates come from each system's own date field; for the Workday companies in the Fortune 1-100 the date was additionally cross-checked against the site's 'Posted Today / N Days Ago' label, and all 61 matches agreed on both.</t>
        </is>
      </c>
    </row>
    <row r="9" ht="15" customHeight="1">
      <c r="A9" s="28" t="inlineStr"/>
    </row>
    <row r="10">
      <c r="A10" s="18" t="inlineStr">
        <is>
          <t>Coverage is lower in the 101-200 tier - and that is a data-access limit, not a hiring signal</t>
        </is>
      </c>
    </row>
    <row r="11" ht="52" customHeight="1">
      <c r="A11" s="28" t="inlineStr">
        <is>
          <t>Larger companies tend to run Workday or Oracle Cloud career sites with public JSON endpoints. Further down the list, more companies run custom or mid-market platforms that expose nothing machine-readable. Eleven companies were found to run Phenom career sites whose jobs API returned HTTP 500 to every query variant tested; those are marked 'endpoint failed' rather than counted as zero.</t>
        </is>
      </c>
    </row>
    <row r="12" ht="39" customHeight="1">
      <c r="A12" s="28" t="inlineStr">
        <is>
          <t>The main sheet is therefore a floor, not a ceiling. It is complete and accurate for the companies actually searched. A company absent from the results either genuinely has no fresh posting, or could not be searched - the Coverage tab tells you which, company by company.</t>
        </is>
      </c>
    </row>
    <row r="13" ht="15" customHeight="1">
      <c r="A13" s="28" t="inlineStr"/>
    </row>
    <row r="14">
      <c r="A14" s="18" t="inlineStr">
        <is>
          <t>How US-only was enforced</t>
        </is>
      </c>
    </row>
    <row r="15" ht="39" customHeight="1">
      <c r="A15" s="28" t="inlineStr">
        <is>
          <t>Postings were resolved to their full location list, including additional locations hidden behind a '3 Locations' label, then filtered to US states, US territories and US-based remote roles. Non-US matches were dropped.</t>
        </is>
      </c>
    </row>
    <row r="16" ht="15" customHeight="1">
      <c r="A16" s="28" t="inlineStr"/>
    </row>
    <row r="17">
      <c r="A17" s="18" t="inlineStr">
        <is>
          <t>Freshness</t>
        </is>
      </c>
    </row>
    <row r="18" ht="26" customHeight="1">
      <c r="A18" s="28" t="inlineStr">
        <is>
          <t>Job postings move fast - roles get filled or pulled within days and new ones appear hourly. This is a snapshot as of the pull date. Re-run it before relying on it a week from now.</t>
        </is>
      </c>
    </row>
    <row r="19" ht="15" customHeight="1">
      <c r="A19" s="28" t="inlineStr"/>
    </row>
    <row r="20">
      <c r="A20" s="18" t="inlineStr">
        <is>
          <t>Fortune ranking source</t>
        </is>
      </c>
    </row>
    <row r="21" ht="26" customHeight="1">
      <c r="A21" s="28" t="inlineStr">
        <is>
          <t>Ranks 1-200 taken from the us500.com Fortune 500 listing. Exact ordering varies slightly between publication years; the set of companies is the standard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2026-08-14T03:45:23Z</dcterms:created>
  <dcterms:modified xmlns:dcterms="http://purl.org/dc/terms/" xmlns:xsi="http://www.w3.org/2001/XMLSchema-instance" xsi:type="dcterms:W3CDTF">2026-08-14T03:45:23Z</dcterms:modified>
</cp:coreProperties>
</file>
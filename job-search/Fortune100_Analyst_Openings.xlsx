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ings (last 72h)" sheetId="1" state="visible" r:id="rId1"/>
    <sheet name="Backup (4-7 days)" sheetId="2" state="visible" r:id="rId2"/>
    <sheet name="Coverage (all 100)" sheetId="3" state="visible" r:id="rId3"/>
    <sheet name="Method &amp; Caveats" sheetId="4" state="visible" r:id="rId4"/>
  </sheets>
  <definedNames>
    <definedName name="_xlnm._FilterDatabase" localSheetId="0" hidden="1">'Openings (last 72h)'!$A$5:$J$50</definedName>
    <definedName name="_xlnm._FilterDatabase" localSheetId="1" hidden="1">'Backup (4-7 days)'!$A$5:$J$18</definedName>
    <definedName name="_xlnm._FilterDatabase" localSheetId="2" hidden="1">'Coverage (all 100)'!$A$4:$F$104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/>
    </xf>
    <xf numFmtId="1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5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/>
    </xf>
    <xf numFmtId="1" fontId="5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vertical="top"/>
    </xf>
    <xf numFmtId="0" fontId="7" fillId="0" borderId="0" pivotButton="0" quotePrefix="0" xfId="0"/>
    <xf numFmtId="0" fontId="5" fillId="0" borderId="0" pivotButton="0" quotePrefix="0" xfId="0"/>
    <xf numFmtId="1" fontId="3" fillId="0" borderId="0" pivotButton="0" quotePrefix="0" xfId="0"/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jpmorgan.com/us/en/jobs" TargetMode="External" Id="rId1" /><Relationship Type="http://schemas.openxmlformats.org/officeDocument/2006/relationships/hyperlink" Target="https://cardinalhealth.wd1.myworkdayjobs.com/EXT/job/US-Nationwide-FIELD/Business-Analyst_20185208-2" TargetMode="External" Id="rId2" /><Relationship Type="http://schemas.openxmlformats.org/officeDocument/2006/relationships/hyperlink" Target="https://elevancehealth.wd1.myworkdayjobs.com/ANT/job/GA-ATLANTA-740-W-PEACHTREE-ST-NW/Business-Analyst-III_JR202257" TargetMode="External" Id="rId3" /><Relationship Type="http://schemas.openxmlformats.org/officeDocument/2006/relationships/hyperlink" Target="https://elevancehealth.wd1.myworkdayjobs.com/ANT/job/VA-NORFOLK-5800-NORTHAMPTON-BLVD/Business-Analyst-II_JR201304" TargetMode="External" Id="rId4" /><Relationship Type="http://schemas.openxmlformats.org/officeDocument/2006/relationships/hyperlink" Target="https://citi.wd5.myworkdayjobs.com/2/job/Jacksonville-Florida-United-States/Lead-IT-Business-Analyst_26985716" TargetMode="External" Id="rId5" /><Relationship Type="http://schemas.openxmlformats.org/officeDocument/2006/relationships/hyperlink" Target="https://humana.wd5.myworkdayjobs.com/Humana_External_Career_Site/job/Remote-Nationwide/Lead--Audience-Data-Analyst_R-425449" TargetMode="External" Id="rId6" /><Relationship Type="http://schemas.openxmlformats.org/officeDocument/2006/relationships/hyperlink" Target="https://globalhr.wd5.myworkdayjobs.com/REC_RTX_Ext_Gateway/job/US-PR-AGUADILLA-110--Rd-110-N-Km-288--RD110/Data-Analyst-II--Hybrid---Aguadilla--PR-_01841221" TargetMode="External" Id="rId7" /><Relationship Type="http://schemas.openxmlformats.org/officeDocument/2006/relationships/hyperlink" Target="https://careers.albertsons.com/" TargetMode="External" Id="rId8" /><Relationship Type="http://schemas.openxmlformats.org/officeDocument/2006/relationships/hyperlink" Target="https://careers.oracle.com/jobs" TargetMode="External" Id="rId9" /><Relationship Type="http://schemas.openxmlformats.org/officeDocument/2006/relationships/hyperlink" Target="https://intel.wd1.myworkdayjobs.com/External/job/US-Arizona-Phoenix/Data-Analyst--Enterprise-Data-Governance-Team_JR0286387" TargetMode="External" Id="rId10" /><Relationship Type="http://schemas.openxmlformats.org/officeDocument/2006/relationships/hyperlink" Target="https://gdit.wd5.myworkdayjobs.com/External_Career_Site/job/USA-DC-Washington/Statistician-Data-Analyst_RQ226086-2" TargetMode="External" Id="rId11" /><Relationship Type="http://schemas.openxmlformats.org/officeDocument/2006/relationships/hyperlink" Target="https://gdit.wd5.myworkdayjobs.com/External_Career_Site/job/USA-MD-Annapolis-Junction/SNOW-Data-Analyst----TS-SCI-w-Poly_RQ226401-1" TargetMode="External" Id="rId12" /><Relationship Type="http://schemas.openxmlformats.org/officeDocument/2006/relationships/hyperlink" Target="https://gdit.wd5.myworkdayjobs.com/External_Career_Site/job/Any-Location--Remote/Senior-Strategic-Business-Analyst---Cloud-Expertise_RQ226088" TargetMode="External" Id="rId13" /><Relationship Type="http://schemas.openxmlformats.org/officeDocument/2006/relationships/hyperlink" Target="https://tiaa.wd1.myworkdayjobs.com/Search/job/Dallas-TX-USA/Lead-Data-Analyst_R260500020-2" TargetMode="External" Id="rId14" /><Relationship Type="http://schemas.openxmlformats.org/officeDocument/2006/relationships/hyperlink" Target="https://careers.jpmorgan.com/us/en/jobs" TargetMode="External" Id="rId15" /><Relationship Type="http://schemas.openxmlformats.org/officeDocument/2006/relationships/hyperlink" Target="https://cardinalhealth.wd1.myworkdayjobs.com/EXT/job/US-Nationwide-FIELD/Senior-Data-Analyst_20185427" TargetMode="External" Id="rId16" /><Relationship Type="http://schemas.openxmlformats.org/officeDocument/2006/relationships/hyperlink" Target="https://cardinalhealth.wd1.myworkdayjobs.com/EXT/job/US-Nationwide-FIELD/Business-Analyst_20185404" TargetMode="External" Id="rId17" /><Relationship Type="http://schemas.openxmlformats.org/officeDocument/2006/relationships/hyperlink" Target="https://cardinalhealth.wd1.myworkdayjobs.com/EXT/job/US-Nationwide-FIELD/Consultant--IT-Product-Implementation-Business-Analyst_20185405" TargetMode="External" Id="rId18" /><Relationship Type="http://schemas.openxmlformats.org/officeDocument/2006/relationships/hyperlink" Target="https://centene.wd5.myworkdayjobs.com/Centene_External/job/Remote-FL/Data-Analyst-III--Healthcare-Analytics-_1648823" TargetMode="External" Id="rId19" /><Relationship Type="http://schemas.openxmlformats.org/officeDocument/2006/relationships/hyperlink" Target="https://generalmotors.wd5.myworkdayjobs.com/Careers_GM/job/Warren-Michigan-United-States-of-America/Safety-Field-Investigations---Data-Analyst_JR-202615306-1" TargetMode="External" Id="rId20" /><Relationship Type="http://schemas.openxmlformats.org/officeDocument/2006/relationships/hyperlink" Target="https://hcmportal.wd5.myworkdayjobs.com/Search/job/US---UPS-CORPORATE-OFFICES-GACOR/CRM-Business-Analyst_R26027670" TargetMode="External" Id="rId21" /><Relationship Type="http://schemas.openxmlformats.org/officeDocument/2006/relationships/hyperlink" Target="https://capitalone.wd12.myworkdayjobs.com/Capital_One/job/McLean-VA/Business-Analyst-Intern---Summer-2027_R244322-1" TargetMode="External" Id="rId22" /><Relationship Type="http://schemas.openxmlformats.org/officeDocument/2006/relationships/hyperlink" Target="https://capitalone.wd12.myworkdayjobs.com/Capital_One/job/McLean-VA/Senior-Business-Analyst--Liquidity--Market--and-Capital-Risk-Oversight_R243495-1" TargetMode="External" Id="rId23" /><Relationship Type="http://schemas.openxmlformats.org/officeDocument/2006/relationships/hyperlink" Target="https://capitalone.wd12.myworkdayjobs.com/Capital_One/job/McLean-VA/Senior-Business-Analyst--In-person-Experience-Strategy_R248140-1" TargetMode="External" Id="rId24" /><Relationship Type="http://schemas.openxmlformats.org/officeDocument/2006/relationships/hyperlink" Target="https://capitalone.wd12.myworkdayjobs.com/Capital_One/job/Houston-TX/Senior-Business-Analyst--PULSE---Global-Payment-Network_R248918-1" TargetMode="External" Id="rId25" /><Relationship Type="http://schemas.openxmlformats.org/officeDocument/2006/relationships/hyperlink" Target="https://careers.oracle.com/jobs" TargetMode="External" Id="rId26" /><Relationship Type="http://schemas.openxmlformats.org/officeDocument/2006/relationships/hyperlink" Target="https://cisco.wd5.myworkdayjobs.com/Cisco_Careers/job/RTP-North-Carolina-US/Business-Analyst_2013474-1" TargetMode="External" Id="rId27" /><Relationship Type="http://schemas.openxmlformats.org/officeDocument/2006/relationships/hyperlink" Target="https://www.amazon.jobs/en/jobs/10499284/communications-business-analyst-operations-internal-communications" TargetMode="External" Id="rId28" /><Relationship Type="http://schemas.openxmlformats.org/officeDocument/2006/relationships/hyperlink" Target="https://www.amazon.jobs/en/jobs/10498619/business-analyst-iii-amz10666414" TargetMode="External" Id="rId29" /><Relationship Type="http://schemas.openxmlformats.org/officeDocument/2006/relationships/hyperlink" Target="https://www.amazon.jobs/en/jobs/10498893/business-analyst-fuse-billing-operations" TargetMode="External" Id="rId30" /><Relationship Type="http://schemas.openxmlformats.org/officeDocument/2006/relationships/hyperlink" Target="https://www.amazon.jobs/en/jobs/10498849/senior-business-analyst-seller-external-relations" TargetMode="External" Id="rId31" /><Relationship Type="http://schemas.openxmlformats.org/officeDocument/2006/relationships/hyperlink" Target="https://elevancehealth.wd1.myworkdayjobs.com/ANT/job/GA-ATLANTA-740-W-PEACHTREE-ST-NW/Business-Analyst-II_JR202664" TargetMode="External" Id="rId32" /><Relationship Type="http://schemas.openxmlformats.org/officeDocument/2006/relationships/hyperlink" Target="https://elevancehealth.wd1.myworkdayjobs.com/ANT/job/TX-GRAND-PRAIRIE-2505-N-HWY-360-STE-200--300/Sr-Test-Analyst-PBM--Business-Analyst-III-_JR200042-1" TargetMode="External" Id="rId33" /><Relationship Type="http://schemas.openxmlformats.org/officeDocument/2006/relationships/hyperlink" Target="https://ms.wd5.myworkdayjobs.com/External/job/Boston-Massachusetts-United-States-of-America/Lead-Business-Analyst---Parametric_PT-JR038385" TargetMode="External" Id="rId34" /><Relationship Type="http://schemas.openxmlformats.org/officeDocument/2006/relationships/hyperlink" Target="https://disney.wd5.myworkdayjobs.com/disneycareer/job/New-York-CA-USA/Sr-Business-Analyst_10157209-1" TargetMode="External" Id="rId35" /><Relationship Type="http://schemas.openxmlformats.org/officeDocument/2006/relationships/hyperlink" Target="https://capitalone.wd12.myworkdayjobs.com/Capital_One/job/McLean-VA/Senior-Business-Analyst---Credit-Reporting---Performance_R248806-1" TargetMode="External" Id="rId36" /><Relationship Type="http://schemas.openxmlformats.org/officeDocument/2006/relationships/hyperlink" Target="https://capitalone.wd12.myworkdayjobs.com/Capital_One/job/Houston-TX/Senior-Business-Analyst--PULSE---Global-Payment-Network_R248919-1" TargetMode="External" Id="rId37" /><Relationship Type="http://schemas.openxmlformats.org/officeDocument/2006/relationships/hyperlink" Target="https://gdit.wd5.myworkdayjobs.com/External_Career_Site/job/USA-FL-MacDill-AFB/Senior-Business-Analyst_RQ225710-1" TargetMode="External" Id="rId38" /><Relationship Type="http://schemas.openxmlformats.org/officeDocument/2006/relationships/hyperlink" Target="https://usaa.wd1.myworkdayjobs.com/USAAJOBSWD/job/Charlotte-NC---CENTS/Audit-Data-Analyst---Senior-Auditor--I-_R0117731" TargetMode="External" Id="rId39" /><Relationship Type="http://schemas.openxmlformats.org/officeDocument/2006/relationships/hyperlink" Target="https://mckesson.wd3.myworkdayjobs.com/External_Careers/job/USA-TX-Irving/Sr-SAP-Vistex-Business-Analyst_JR0152006" TargetMode="External" Id="rId40" /><Relationship Type="http://schemas.openxmlformats.org/officeDocument/2006/relationships/hyperlink" Target="https://mpc.wd1.myworkdayjobs.com/MPCCareers/job/Findlay-Ohio/Senior-Lead-Business-Analyst_00023212" TargetMode="External" Id="rId41" /><Relationship Type="http://schemas.openxmlformats.org/officeDocument/2006/relationships/hyperlink" Target="https://freddiemac.wd5.myworkdayjobs.com/External/job/McLean-VA/Single-Family-Business-Analyst_JR17442" TargetMode="External" Id="rId42" /><Relationship Type="http://schemas.openxmlformats.org/officeDocument/2006/relationships/hyperlink" Target="https://capitalone.wd12.myworkdayjobs.com/Capital_One/job/McLean-VA/Senior-Data-Analyst---Card_R248928-1" TargetMode="External" Id="rId43" /><Relationship Type="http://schemas.openxmlformats.org/officeDocument/2006/relationships/hyperlink" Target="https://capitalone.wd12.myworkdayjobs.com/Capital_One/job/McLean-VA/Sr-Data-Analyst---Card_R248849-1" TargetMode="External" Id="rId44" /><Relationship Type="http://schemas.openxmlformats.org/officeDocument/2006/relationships/hyperlink" Target="https://capitalone.wd12.myworkdayjobs.com/Capital_One/job/Plano-TX/Sr-Business-Analyst_R248897" TargetMode="External" Id="rId45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mazon.jobs/en/jobs/10496069/senior-business-analyst-goest-global-operations-enterprise-services-tech" TargetMode="External" Id="rId1" /><Relationship Type="http://schemas.openxmlformats.org/officeDocument/2006/relationships/hyperlink" Target="https://careers.jpmorgan.com/us/en/jobs" TargetMode="External" Id="rId2" /><Relationship Type="http://schemas.openxmlformats.org/officeDocument/2006/relationships/hyperlink" Target="https://cardinalhealth.wd1.myworkdayjobs.com/EXT/job/US-Nationwide-FIELD/Data-Analyst_20185076" TargetMode="External" Id="rId3" /><Relationship Type="http://schemas.openxmlformats.org/officeDocument/2006/relationships/hyperlink" Target="https://cardinalhealth.wd1.myworkdayjobs.com/EXT/job/US-Nationwide-FIELD/Genesys-Cloud---Business-Analyst_20184929" TargetMode="External" Id="rId4" /><Relationship Type="http://schemas.openxmlformats.org/officeDocument/2006/relationships/hyperlink" Target="https://mpc.wd1.myworkdayjobs.com/MPCCareers/job/Findlay-Ohio/Senior-Lead-Data-Analyst---Strategy---Business-Development---Central-Support---Predictive-Intelligence_00023202" TargetMode="External" Id="rId5" /><Relationship Type="http://schemas.openxmlformats.org/officeDocument/2006/relationships/hyperlink" Target="https://ms.wd5.myworkdayjobs.com/External/job/New-York-New-York-United-States-of-America/Lead-Business-Analyst_PT-JR041640-1" TargetMode="External" Id="rId6" /><Relationship Type="http://schemas.openxmlformats.org/officeDocument/2006/relationships/hyperlink" Target="https://globalhr.wd5.myworkdayjobs.com/REC_RTX_Ext_Gateway/job/US-PR-SANTA-ISABEL-B1--Felicia-Industrial-Park---St-B1--BLDG-1/Sr-Data-Analyst--Puerto-Rico-_01865432" TargetMode="External" Id="rId7" /><Relationship Type="http://schemas.openxmlformats.org/officeDocument/2006/relationships/hyperlink" Target="https://gdit.wd5.myworkdayjobs.com/External_Career_Site/job/Any-Location--Remote/Business-Data-Analyst_RQ226032-1" TargetMode="External" Id="rId8" /><Relationship Type="http://schemas.openxmlformats.org/officeDocument/2006/relationships/hyperlink" Target="https://gdit.wd5.myworkdayjobs.com/External_Career_Site/job/Any-Location--Remote/Lead-Business-Data-Analyst_RQ226036" TargetMode="External" Id="rId9" /><Relationship Type="http://schemas.openxmlformats.org/officeDocument/2006/relationships/hyperlink" Target="https://gdit.wd5.myworkdayjobs.com/External_Career_Site/job/Any-Location--Remote/Lead-Business-Analyst_RQ207291-1" TargetMode="External" Id="rId10" /><Relationship Type="http://schemas.openxmlformats.org/officeDocument/2006/relationships/hyperlink" Target="https://coke.wd1.myworkdayjobs.com/coca-cola-careers/job/US---GA---Atlanta/Senior-Manager--Data-Value-Architech--ROI-Analyst-_R-144425" TargetMode="External" Id="rId11" /><Relationship Type="http://schemas.openxmlformats.org/officeDocument/2006/relationships/hyperlink" Target="https://target.wd5.myworkdayjobs.com/targetcareers/job/1000-Nicollet-Mall-MinneapolisMN-55403-2542/Sr-Data-Analyst---Digital-and-Ecommerce_R0000437894" TargetMode="External" Id="rId12" /><Relationship Type="http://schemas.openxmlformats.org/officeDocument/2006/relationships/hyperlink" Target="https://capitalone.wd12.myworkdayjobs.com/Capital_One/job/McLean-VA/Senior-Business-Analyst---Strategy---Transformation--Model-Risk-_R247112-1" TargetMode="External" Id="rId1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amazon.jobs/en/" TargetMode="External" Id="rId1" /><Relationship Type="http://schemas.openxmlformats.org/officeDocument/2006/relationships/hyperlink" Target="https://walmart.wd5.myworkdayjobs.com/WalmartExternal" TargetMode="External" Id="rId2" /><Relationship Type="http://schemas.openxmlformats.org/officeDocument/2006/relationships/hyperlink" Target="https://careers.unitedhealthgroup.com/" TargetMode="External" Id="rId3" /><Relationship Type="http://schemas.openxmlformats.org/officeDocument/2006/relationships/hyperlink" Target="https://jobs.apple.com/en-us/search" TargetMode="External" Id="rId4" /><Relationship Type="http://schemas.openxmlformats.org/officeDocument/2006/relationships/hyperlink" Target="https://www.google.com/about/careers/applications/jobs/results/" TargetMode="External" Id="rId5" /><Relationship Type="http://schemas.openxmlformats.org/officeDocument/2006/relationships/hyperlink" Target="https://cvshealth.wd1.myworkdayjobs.com/CVS_Health_Careers" TargetMode="External" Id="rId6" /><Relationship Type="http://schemas.openxmlformats.org/officeDocument/2006/relationships/hyperlink" Target="https://www.berkshirehathaway.com/careers/careers.html" TargetMode="External" Id="rId7" /><Relationship Type="http://schemas.openxmlformats.org/officeDocument/2006/relationships/hyperlink" Target="https://mckesson.wd3.myworkdayjobs.com/External_Careers" TargetMode="External" Id="rId8" /><Relationship Type="http://schemas.openxmlformats.org/officeDocument/2006/relationships/hyperlink" Target="https://jobs.exxonmobil.com/" TargetMode="External" Id="rId9" /><Relationship Type="http://schemas.openxmlformats.org/officeDocument/2006/relationships/hyperlink" Target="https://myhrabc.wd5.myworkdayjobs.com/Global" TargetMode="External" Id="rId10" /><Relationship Type="http://schemas.openxmlformats.org/officeDocument/2006/relationships/hyperlink" Target="https://jobs.careers.microsoft.com/global/en/search" TargetMode="External" Id="rId11" /><Relationship Type="http://schemas.openxmlformats.org/officeDocument/2006/relationships/hyperlink" Target="https://careers.jpmorgan.com/us/en/jobs" TargetMode="External" Id="rId12" /><Relationship Type="http://schemas.openxmlformats.org/officeDocument/2006/relationships/hyperlink" Target="https://careers.costco.com/" TargetMode="External" Id="rId13" /><Relationship Type="http://schemas.openxmlformats.org/officeDocument/2006/relationships/hyperlink" Target="https://cigna.wd5.myworkdayjobs.com/cignacareers" TargetMode="External" Id="rId14" /><Relationship Type="http://schemas.openxmlformats.org/officeDocument/2006/relationships/hyperlink" Target="https://cardinalhealth.wd1.myworkdayjobs.com/EXT" TargetMode="External" Id="rId15" /><Relationship Type="http://schemas.openxmlformats.org/officeDocument/2006/relationships/hyperlink" Target="https://nvidia.wd5.myworkdayjobs.com/NVIDIAExternalCareerSite" TargetMode="External" Id="rId16" /><Relationship Type="http://schemas.openxmlformats.org/officeDocument/2006/relationships/hyperlink" Target="https://www.metacareers.com/jobs" TargetMode="External" Id="rId17" /><Relationship Type="http://schemas.openxmlformats.org/officeDocument/2006/relationships/hyperlink" Target="https://elevancehealth.wd1.myworkdayjobs.com/ANT" TargetMode="External" Id="rId18" /><Relationship Type="http://schemas.openxmlformats.org/officeDocument/2006/relationships/hyperlink" Target="https://centene.wd5.myworkdayjobs.com/Centene_External" TargetMode="External" Id="rId19" /><Relationship Type="http://schemas.openxmlformats.org/officeDocument/2006/relationships/hyperlink" Target="https://careers.bankofamerica.com/en-us/job-search" TargetMode="External" Id="rId20" /><Relationship Type="http://schemas.openxmlformats.org/officeDocument/2006/relationships/hyperlink" Target="https://chevron.wd5.myworkdayjobs.com/jobs" TargetMode="External" Id="rId21" /><Relationship Type="http://schemas.openxmlformats.org/officeDocument/2006/relationships/hyperlink" Target="https://careers.ford.com/" TargetMode="External" Id="rId22" /><Relationship Type="http://schemas.openxmlformats.org/officeDocument/2006/relationships/hyperlink" Target="https://generalmotors.wd5.myworkdayjobs.com/Careers_GM" TargetMode="External" Id="rId23" /><Relationship Type="http://schemas.openxmlformats.org/officeDocument/2006/relationships/hyperlink" Target="https://citi.wd5.myworkdayjobs.com/2" TargetMode="External" Id="rId24" /><Relationship Type="http://schemas.openxmlformats.org/officeDocument/2006/relationships/hyperlink" Target="https://homedepot.wd5.myworkdayjobs.com/CareerDepot" TargetMode="External" Id="rId25" /><Relationship Type="http://schemas.openxmlformats.org/officeDocument/2006/relationships/hyperlink" Target="https://fanniemae.wd1.myworkdayjobs.com/FannieMaeCareers" TargetMode="External" Id="rId26" /><Relationship Type="http://schemas.openxmlformats.org/officeDocument/2006/relationships/hyperlink" Target="https://jobs.kroger.com/" TargetMode="External" Id="rId27" /><Relationship Type="http://schemas.openxmlformats.org/officeDocument/2006/relationships/hyperlink" Target="https://verizon.wd5.myworkdayjobs.com/verizon-careers" TargetMode="External" Id="rId28" /><Relationship Type="http://schemas.openxmlformats.org/officeDocument/2006/relationships/hyperlink" Target="https://jobs.phillips66.com/" TargetMode="External" Id="rId29" /><Relationship Type="http://schemas.openxmlformats.org/officeDocument/2006/relationships/hyperlink" Target="https://mpc.wd1.myworkdayjobs.com/MPCCareers" TargetMode="External" Id="rId30" /><Relationship Type="http://schemas.openxmlformats.org/officeDocument/2006/relationships/hyperlink" Target="https://www.stonex.com/en/careers/" TargetMode="External" Id="rId31" /><Relationship Type="http://schemas.openxmlformats.org/officeDocument/2006/relationships/hyperlink" Target="https://jobs.statefarm.com/" TargetMode="External" Id="rId32" /><Relationship Type="http://schemas.openxmlformats.org/officeDocument/2006/relationships/hyperlink" Target="https://freddiemac.wd5.myworkdayjobs.com/External" TargetMode="External" Id="rId33" /><Relationship Type="http://schemas.openxmlformats.org/officeDocument/2006/relationships/hyperlink" Target="https://humana.wd5.myworkdayjobs.com/Humana_External_Career_Site" TargetMode="External" Id="rId34" /><Relationship Type="http://schemas.openxmlformats.org/officeDocument/2006/relationships/hyperlink" Target="https://www.att.jobs/" TargetMode="External" Id="rId35" /><Relationship Type="http://schemas.openxmlformats.org/officeDocument/2006/relationships/hyperlink" Target="https://higher.gs.com/roles" TargetMode="External" Id="rId36" /><Relationship Type="http://schemas.openxmlformats.org/officeDocument/2006/relationships/hyperlink" Target="https://comcast.wd5.myworkdayjobs.com/Comcast_Careers" TargetMode="External" Id="rId37" /><Relationship Type="http://schemas.openxmlformats.org/officeDocument/2006/relationships/hyperlink" Target="https://wf.wd1.myworkdayjobs.com/WellsFargoJobs" TargetMode="External" Id="rId38" /><Relationship Type="http://schemas.openxmlformats.org/officeDocument/2006/relationships/hyperlink" Target="https://ms.wd5.myworkdayjobs.com/External" TargetMode="External" Id="rId39" /><Relationship Type="http://schemas.openxmlformats.org/officeDocument/2006/relationships/hyperlink" Target="https://www.valero.com/careers" TargetMode="External" Id="rId40" /><Relationship Type="http://schemas.openxmlformats.org/officeDocument/2006/relationships/hyperlink" Target="https://dell.wd1.myworkdayjobs.com/External" TargetMode="External" Id="rId41" /><Relationship Type="http://schemas.openxmlformats.org/officeDocument/2006/relationships/hyperlink" Target="https://target.wd5.myworkdayjobs.com/targetcareers" TargetMode="External" Id="rId42" /><Relationship Type="http://schemas.openxmlformats.org/officeDocument/2006/relationships/hyperlink" Target="https://www.tesla.com/careers/search/" TargetMode="External" Id="rId43" /><Relationship Type="http://schemas.openxmlformats.org/officeDocument/2006/relationships/hyperlink" Target="https://disney.wd5.myworkdayjobs.com/disneycareer" TargetMode="External" Id="rId44" /><Relationship Type="http://schemas.openxmlformats.org/officeDocument/2006/relationships/hyperlink" Target="https://jj.wd5.myworkdayjobs.com/JJ" TargetMode="External" Id="rId45" /><Relationship Type="http://schemas.openxmlformats.org/officeDocument/2006/relationships/hyperlink" Target="https://www.pepsicojobs.com/" TargetMode="External" Id="rId46" /><Relationship Type="http://schemas.openxmlformats.org/officeDocument/2006/relationships/hyperlink" Target="https://boeing.wd1.myworkdayjobs.com/EXTERNAL_CAREERS" TargetMode="External" Id="rId47" /><Relationship Type="http://schemas.openxmlformats.org/officeDocument/2006/relationships/hyperlink" Target="https://hcmportal.wd5.myworkdayjobs.com/Search" TargetMode="External" Id="rId48" /><Relationship Type="http://schemas.openxmlformats.org/officeDocument/2006/relationships/hyperlink" Target="https://globalhr.wd5.myworkdayjobs.com/REC_RTX_Ext_Gateway" TargetMode="External" Id="rId49" /><Relationship Type="http://schemas.openxmlformats.org/officeDocument/2006/relationships/hyperlink" Target="https://fedex.wd1.myworkdayjobs.com/FDW_External_Career_Site" TargetMode="External" Id="rId50" /><Relationship Type="http://schemas.openxmlformats.org/officeDocument/2006/relationships/hyperlink" Target="https://careers.progressive.com/" TargetMode="External" Id="rId51" /><Relationship Type="http://schemas.openxmlformats.org/officeDocument/2006/relationships/hyperlink" Target="https://lowes.wd5.myworkdayjobs.com/LWS_External_CS" TargetMode="External" Id="rId52" /><Relationship Type="http://schemas.openxmlformats.org/officeDocument/2006/relationships/hyperlink" Target="https://www.energytransfer.com/careers/" TargetMode="External" Id="rId53" /><Relationship Type="http://schemas.openxmlformats.org/officeDocument/2006/relationships/hyperlink" Target="https://pg.wd5.myworkdayjobs.com/1000" TargetMode="External" Id="rId54" /><Relationship Type="http://schemas.openxmlformats.org/officeDocument/2006/relationships/hyperlink" Target="https://sysco.wd5.myworkdayjobs.com/syscocareers" TargetMode="External" Id="rId55" /><Relationship Type="http://schemas.openxmlformats.org/officeDocument/2006/relationships/hyperlink" Target="https://www.americanexpress.com/en-us/careers/" TargetMode="External" Id="rId56" /><Relationship Type="http://schemas.openxmlformats.org/officeDocument/2006/relationships/hyperlink" Target="https://careers.albertsons.com/" TargetMode="External" Id="rId57" /><Relationship Type="http://schemas.openxmlformats.org/officeDocument/2006/relationships/hyperlink" Target="https://careers.adm.com/" TargetMode="External" Id="rId58" /><Relationship Type="http://schemas.openxmlformats.org/officeDocument/2006/relationships/hyperlink" Target="https://careers.metlife.com/" TargetMode="External" Id="rId59" /><Relationship Type="http://schemas.openxmlformats.org/officeDocument/2006/relationships/hyperlink" Target="https://hcahealthcare.wd3.myworkdayjobs.com/hcacareers" TargetMode="External" Id="rId60" /><Relationship Type="http://schemas.openxmlformats.org/officeDocument/2006/relationships/hyperlink" Target="https://www.lockheedmartinjobs.com/" TargetMode="External" Id="rId61" /><Relationship Type="http://schemas.openxmlformats.org/officeDocument/2006/relationships/hyperlink" Target="https://www.newyorklife.com/careers" TargetMode="External" Id="rId62" /><Relationship Type="http://schemas.openxmlformats.org/officeDocument/2006/relationships/hyperlink" Target="https://capitalone.wd12.myworkdayjobs.com/Capital_One" TargetMode="External" Id="rId63" /><Relationship Type="http://schemas.openxmlformats.org/officeDocument/2006/relationships/hyperlink" Target="https://allstate.wd5.myworkdayjobs.com/allstate_careers" TargetMode="External" Id="rId64" /><Relationship Type="http://schemas.openxmlformats.org/officeDocument/2006/relationships/hyperlink" Target="https://cat.wd5.myworkdayjobs.com/CaterpillarCareers" TargetMode="External" Id="rId65" /><Relationship Type="http://schemas.openxmlformats.org/officeDocument/2006/relationships/hyperlink" Target="https://www.ibm.com/careers/search" TargetMode="External" Id="rId66" /><Relationship Type="http://schemas.openxmlformats.org/officeDocument/2006/relationships/hyperlink" Target="https://lilly.wd5.myworkdayjobs.com/LLY" TargetMode="External" Id="rId67" /><Relationship Type="http://schemas.openxmlformats.org/officeDocument/2006/relationships/hyperlink" Target="https://msd.wd5.myworkdayjobs.com/SearchJobs" TargetMode="External" Id="rId68" /><Relationship Type="http://schemas.openxmlformats.org/officeDocument/2006/relationships/hyperlink" Target="https://nationwide.wd1.myworkdayjobs.com/Nationwide_Career" TargetMode="External" Id="rId69" /><Relationship Type="http://schemas.openxmlformats.org/officeDocument/2006/relationships/hyperlink" Target="https://broadcom.wd1.myworkdayjobs.com/External_Career" TargetMode="External" Id="rId70" /><Relationship Type="http://schemas.openxmlformats.org/officeDocument/2006/relationships/hyperlink" Target="https://careers.delta.com/" TargetMode="External" Id="rId71" /><Relationship Type="http://schemas.openxmlformats.org/officeDocument/2006/relationships/hyperlink" Target="https://corporate.publix.com/careers" TargetMode="External" Id="rId72" /><Relationship Type="http://schemas.openxmlformats.org/officeDocument/2006/relationships/hyperlink" Target="https://pfizer.wd1.myworkdayjobs.com/PfizerCareers" TargetMode="External" Id="rId73" /><Relationship Type="http://schemas.openxmlformats.org/officeDocument/2006/relationships/hyperlink" Target="https://careers.tdsynnex.com/" TargetMode="External" Id="rId74" /><Relationship Type="http://schemas.openxmlformats.org/officeDocument/2006/relationships/hyperlink" Target="https://conocophillips.wd1.myworkdayjobs.com/External" TargetMode="External" Id="rId75" /><Relationship Type="http://schemas.openxmlformats.org/officeDocument/2006/relationships/hyperlink" Target="https://www.galaxy.com/careers/" TargetMode="External" Id="rId76" /><Relationship Type="http://schemas.openxmlformats.org/officeDocument/2006/relationships/hyperlink" Target="https://careers.abbvie.com/en" TargetMode="External" Id="rId77" /><Relationship Type="http://schemas.openxmlformats.org/officeDocument/2006/relationships/hyperlink" Target="https://pru.wd5.myworkdayjobs.com/Careers" TargetMode="External" Id="rId78" /><Relationship Type="http://schemas.openxmlformats.org/officeDocument/2006/relationships/hyperlink" Target="https://tjx.wd1.myworkdayjobs.com/TJX_EXTERNAL" TargetMode="External" Id="rId79" /><Relationship Type="http://schemas.openxmlformats.org/officeDocument/2006/relationships/hyperlink" Target="https://www.pfgc.com/Careers" TargetMode="External" Id="rId80" /><Relationship Type="http://schemas.openxmlformats.org/officeDocument/2006/relationships/hyperlink" Target="https://careers.united.com/" TargetMode="External" Id="rId81" /><Relationship Type="http://schemas.openxmlformats.org/officeDocument/2006/relationships/hyperlink" Target="https://careers.oracle.com/jobs" TargetMode="External" Id="rId82" /><Relationship Type="http://schemas.openxmlformats.org/officeDocument/2006/relationships/hyperlink" Target="https://cisco.wd5.myworkdayjobs.com/Cisco_Careers" TargetMode="External" Id="rId83" /><Relationship Type="http://schemas.openxmlformats.org/officeDocument/2006/relationships/hyperlink" Target="https://hp.wd5.myworkdayjobs.com/ExternalCareerSite" TargetMode="External" Id="rId84" /><Relationship Type="http://schemas.openxmlformats.org/officeDocument/2006/relationships/hyperlink" Target="https://jobs.spectrum.com/" TargetMode="External" Id="rId85" /><Relationship Type="http://schemas.openxmlformats.org/officeDocument/2006/relationships/hyperlink" Target="https://jobs.aa.com/" TargetMode="External" Id="rId86" /><Relationship Type="http://schemas.openxmlformats.org/officeDocument/2006/relationships/hyperlink" Target="https://tysonfoods.wd5.myworkdayjobs.com/TSN" TargetMode="External" Id="rId87" /><Relationship Type="http://schemas.openxmlformats.org/officeDocument/2006/relationships/hyperlink" Target="https://intel.wd1.myworkdayjobs.com/External" TargetMode="External" Id="rId88" /><Relationship Type="http://schemas.openxmlformats.org/officeDocument/2006/relationships/hyperlink" Target="https://www.enterpriseproducts.com/careers" TargetMode="External" Id="rId89" /><Relationship Type="http://schemas.openxmlformats.org/officeDocument/2006/relationships/hyperlink" Target="https://jobs.ingrammicro.com/" TargetMode="External" Id="rId90" /><Relationship Type="http://schemas.openxmlformats.org/officeDocument/2006/relationships/hyperlink" Target="https://gdit.wd5.myworkdayjobs.com/External_Career_Site" TargetMode="External" Id="rId91" /><Relationship Type="http://schemas.openxmlformats.org/officeDocument/2006/relationships/hyperlink" Target="https://www.uber.com/us/en/careers/list/" TargetMode="External" Id="rId92" /><Relationship Type="http://schemas.openxmlformats.org/officeDocument/2006/relationships/hyperlink" Target="https://usaa.wd1.myworkdayjobs.com/USAAJOBSWD" TargetMode="External" Id="rId93" /><Relationship Type="http://schemas.openxmlformats.org/officeDocument/2006/relationships/hyperlink" Target="https://tiaa.wd1.myworkdayjobs.com/Search" TargetMode="External" Id="rId94" /><Relationship Type="http://schemas.openxmlformats.org/officeDocument/2006/relationships/hyperlink" Target="https://jobs.libertymutualgroup.com/" TargetMode="External" Id="rId95" /><Relationship Type="http://schemas.openxmlformats.org/officeDocument/2006/relationships/hyperlink" Target="https://travelers.wd5.myworkdayjobs.com/External" TargetMode="External" Id="rId96" /><Relationship Type="http://schemas.openxmlformats.org/officeDocument/2006/relationships/hyperlink" Target="https://bristolmyerssquibb.wd5.myworkdayjobs.com/BMS" TargetMode="External" Id="rId97" /><Relationship Type="http://schemas.openxmlformats.org/officeDocument/2006/relationships/hyperlink" Target="https://coke.wd1.myworkdayjobs.com/coca-cola-careers" TargetMode="External" Id="rId98" /><Relationship Type="http://schemas.openxmlformats.org/officeDocument/2006/relationships/hyperlink" Target="https://nike.wd1.myworkdayjobs.com/nke" TargetMode="External" Id="rId99" /><Relationship Type="http://schemas.openxmlformats.org/officeDocument/2006/relationships/hyperlink" Target="https://massmutual.wd1.myworkdayjobs.com/MMAscendCareers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52" customWidth="1" min="3" max="3"/>
    <col width="21" customWidth="1" min="4" max="4"/>
    <col width="40" customWidth="1" min="5" max="5"/>
    <col width="13" customWidth="1" min="6" max="6"/>
    <col width="10" customWidth="1" min="7" max="7"/>
    <col width="22" customWidth="1" min="8" max="8"/>
    <col width="15" customWidth="1" min="9" max="9"/>
    <col width="42" customWidth="1" min="10" max="10"/>
  </cols>
  <sheetData>
    <row r="1">
      <c r="A1" s="1" t="inlineStr">
        <is>
          <t>US Analyst Openings at Fortune 100 Companies - Posted Within 72 Hours</t>
        </is>
      </c>
    </row>
    <row r="2">
      <c r="A2" s="2" t="inlineStr">
        <is>
          <t>Data pulled August 13, 2026 direct from employer applicant-tracking systems across five platforms. 45 openings at 23 companies. Every row is a live posting verified at pull time.</t>
        </is>
      </c>
    </row>
    <row r="3">
      <c r="A3" s="3" t="inlineStr">
        <is>
          <t>Pull date -&gt;</t>
        </is>
      </c>
      <c r="B3" s="4" t="n">
        <v>46247</v>
      </c>
      <c r="C3" s="2" t="inlineStr">
        <is>
          <t>Change this date and Days Old recalculates.</t>
        </is>
      </c>
    </row>
    <row r="5" ht="30" customHeight="1">
      <c r="A5" s="5" t="inlineStr">
        <is>
          <t>Fortune Rank</t>
        </is>
      </c>
      <c r="B5" s="5" t="inlineStr">
        <is>
          <t>Company</t>
        </is>
      </c>
      <c r="C5" s="5" t="inlineStr">
        <is>
          <t>Job Title</t>
        </is>
      </c>
      <c r="D5" s="5" t="inlineStr">
        <is>
          <t>Role Type</t>
        </is>
      </c>
      <c r="E5" s="5" t="inlineStr">
        <is>
          <t>Location(s) - US</t>
        </is>
      </c>
      <c r="F5" s="5" t="inlineStr">
        <is>
          <t>Posted Date</t>
        </is>
      </c>
      <c r="G5" s="5" t="inlineStr">
        <is>
          <t>Days Old</t>
        </is>
      </c>
      <c r="H5" s="5" t="inlineStr">
        <is>
          <t>Source</t>
        </is>
      </c>
      <c r="I5" s="5" t="inlineStr">
        <is>
          <t>Req ID</t>
        </is>
      </c>
      <c r="J5" s="5" t="inlineStr">
        <is>
          <t>Apply Link</t>
        </is>
      </c>
    </row>
    <row r="6">
      <c r="A6" s="6" t="n">
        <v>12</v>
      </c>
      <c r="B6" s="7" t="inlineStr">
        <is>
          <t>JPMorgan Chase</t>
        </is>
      </c>
      <c r="C6" s="8" t="inlineStr">
        <is>
          <t>Change Management Business Analyst</t>
        </is>
      </c>
      <c r="D6" s="7" t="inlineStr">
        <is>
          <t>Business Analyst</t>
        </is>
      </c>
      <c r="E6" s="8" t="inlineStr">
        <is>
          <t>TX, United States; Tempe, AZ, United States; Columbus, OH, United States</t>
        </is>
      </c>
      <c r="F6" s="9" t="n">
        <v>46247</v>
      </c>
      <c r="G6" s="10">
        <f>$B$3-F6</f>
        <v/>
      </c>
      <c r="H6" s="7" t="inlineStr">
        <is>
          <t>Oracle Cloud</t>
        </is>
      </c>
      <c r="I6" s="7" t="inlineStr">
        <is>
          <t>210776093</t>
        </is>
      </c>
      <c r="J6" s="11" t="inlineStr">
        <is>
          <t>Open posting</t>
        </is>
      </c>
    </row>
    <row r="7">
      <c r="A7" s="12" t="n">
        <v>15</v>
      </c>
      <c r="B7" s="13" t="inlineStr">
        <is>
          <t>Cardinal Health</t>
        </is>
      </c>
      <c r="C7" s="14" t="inlineStr">
        <is>
          <t>Business Analyst</t>
        </is>
      </c>
      <c r="D7" s="13" t="inlineStr">
        <is>
          <t>Business Analyst</t>
        </is>
      </c>
      <c r="E7" s="14" t="inlineStr">
        <is>
          <t>US-Nationwide-FIELD</t>
        </is>
      </c>
      <c r="F7" s="15" t="n">
        <v>46247</v>
      </c>
      <c r="G7" s="16">
        <f>$B$3-F7</f>
        <v/>
      </c>
      <c r="H7" s="13" t="inlineStr">
        <is>
          <t>Workday</t>
        </is>
      </c>
      <c r="I7" s="13" t="inlineStr">
        <is>
          <t>20185208</t>
        </is>
      </c>
      <c r="J7" s="17" t="inlineStr">
        <is>
          <t>Open posting</t>
        </is>
      </c>
    </row>
    <row r="8">
      <c r="A8" s="6" t="n">
        <v>18</v>
      </c>
      <c r="B8" s="7" t="inlineStr">
        <is>
          <t>Elevance Health</t>
        </is>
      </c>
      <c r="C8" s="8" t="inlineStr">
        <is>
          <t>Business Analyst III</t>
        </is>
      </c>
      <c r="D8" s="7" t="inlineStr">
        <is>
          <t>Business Analyst</t>
        </is>
      </c>
      <c r="E8" s="8" t="inlineStr">
        <is>
          <t>GA-ATLANTA, 740 W PEACHTREE ST NW</t>
        </is>
      </c>
      <c r="F8" s="9" t="n">
        <v>46247</v>
      </c>
      <c r="G8" s="10">
        <f>$B$3-F8</f>
        <v/>
      </c>
      <c r="H8" s="7" t="inlineStr">
        <is>
          <t>Workday</t>
        </is>
      </c>
      <c r="I8" s="7" t="inlineStr">
        <is>
          <t>JR202257</t>
        </is>
      </c>
      <c r="J8" s="11" t="inlineStr">
        <is>
          <t>Open posting</t>
        </is>
      </c>
    </row>
    <row r="9">
      <c r="A9" s="12" t="n">
        <v>18</v>
      </c>
      <c r="B9" s="13" t="inlineStr">
        <is>
          <t>Elevance Health</t>
        </is>
      </c>
      <c r="C9" s="14" t="inlineStr">
        <is>
          <t>Business Analyst II</t>
        </is>
      </c>
      <c r="D9" s="13" t="inlineStr">
        <is>
          <t>Business Analyst</t>
        </is>
      </c>
      <c r="E9" s="14" t="inlineStr">
        <is>
          <t>VA-NORFOLK, 5800 NORTHAMPTON BLVD; GA-ATLANTA, 740 W PEACHTREE ST NW; FL-TAMPA, 5411 SKYCENTER DR, STE 700 &amp; 800; FL-MIAMI, 11430 NW 20TH ST, STE 200 &amp; 300</t>
        </is>
      </c>
      <c r="F9" s="15" t="n">
        <v>46247</v>
      </c>
      <c r="G9" s="16">
        <f>$B$3-F9</f>
        <v/>
      </c>
      <c r="H9" s="13" t="inlineStr">
        <is>
          <t>Workday</t>
        </is>
      </c>
      <c r="I9" s="13" t="inlineStr">
        <is>
          <t>JR201304</t>
        </is>
      </c>
      <c r="J9" s="17" t="inlineStr">
        <is>
          <t>Open posting</t>
        </is>
      </c>
    </row>
    <row r="10">
      <c r="A10" s="6" t="n">
        <v>24</v>
      </c>
      <c r="B10" s="7" t="inlineStr">
        <is>
          <t>Citigroup</t>
        </is>
      </c>
      <c r="C10" s="8" t="inlineStr">
        <is>
          <t>Lead IT Business Analyst</t>
        </is>
      </c>
      <c r="D10" s="7" t="inlineStr">
        <is>
          <t>Senior Business Analyst</t>
        </is>
      </c>
      <c r="E10" s="8" t="inlineStr">
        <is>
          <t>Jacksonville Florida United States</t>
        </is>
      </c>
      <c r="F10" s="9" t="n">
        <v>46247</v>
      </c>
      <c r="G10" s="10">
        <f>$B$3-F10</f>
        <v/>
      </c>
      <c r="H10" s="7" t="inlineStr">
        <is>
          <t>Workday</t>
        </is>
      </c>
      <c r="I10" s="7" t="inlineStr">
        <is>
          <t>26985716</t>
        </is>
      </c>
      <c r="J10" s="11" t="inlineStr">
        <is>
          <t>Open posting</t>
        </is>
      </c>
    </row>
    <row r="11">
      <c r="A11" s="12" t="n">
        <v>34</v>
      </c>
      <c r="B11" s="13" t="inlineStr">
        <is>
          <t>Humana</t>
        </is>
      </c>
      <c r="C11" s="14" t="inlineStr">
        <is>
          <t>Lead, Audience Data Analyst</t>
        </is>
      </c>
      <c r="D11" s="13" t="inlineStr">
        <is>
          <t>Senior Data Analyst</t>
        </is>
      </c>
      <c r="E11" s="14" t="inlineStr">
        <is>
          <t>Remote Nationwide</t>
        </is>
      </c>
      <c r="F11" s="15" t="n">
        <v>46247</v>
      </c>
      <c r="G11" s="16">
        <f>$B$3-F11</f>
        <v/>
      </c>
      <c r="H11" s="13" t="inlineStr">
        <is>
          <t>Workday</t>
        </is>
      </c>
      <c r="I11" s="13" t="inlineStr">
        <is>
          <t>R-425449</t>
        </is>
      </c>
      <c r="J11" s="17" t="inlineStr">
        <is>
          <t>Open posting</t>
        </is>
      </c>
    </row>
    <row r="12">
      <c r="A12" s="6" t="n">
        <v>49</v>
      </c>
      <c r="B12" s="7" t="inlineStr">
        <is>
          <t>RTX</t>
        </is>
      </c>
      <c r="C12" s="8" t="inlineStr">
        <is>
          <t>Data Analyst II (Hybrid - Aguadilla, PR)</t>
        </is>
      </c>
      <c r="D12" s="7" t="inlineStr">
        <is>
          <t>Data Analyst</t>
        </is>
      </c>
      <c r="E12" s="8" t="inlineStr">
        <is>
          <t>US-PR-AGUADILLA-110 ~ Rd 110 N Km 28.8 ~ RD110</t>
        </is>
      </c>
      <c r="F12" s="9" t="n">
        <v>46247</v>
      </c>
      <c r="G12" s="10">
        <f>$B$3-F12</f>
        <v/>
      </c>
      <c r="H12" s="7" t="inlineStr">
        <is>
          <t>Workday</t>
        </is>
      </c>
      <c r="I12" s="7" t="inlineStr">
        <is>
          <t>01841221</t>
        </is>
      </c>
      <c r="J12" s="11" t="inlineStr">
        <is>
          <t>Open posting</t>
        </is>
      </c>
    </row>
    <row r="13">
      <c r="A13" s="12" t="n">
        <v>57</v>
      </c>
      <c r="B13" s="13" t="inlineStr">
        <is>
          <t>Albertsons</t>
        </is>
      </c>
      <c r="C13" s="14" t="inlineStr">
        <is>
          <t>Lead Financial Business Analyst</t>
        </is>
      </c>
      <c r="D13" s="13" t="inlineStr">
        <is>
          <t>Senior Business Analyst</t>
        </is>
      </c>
      <c r="E13" s="14" t="inlineStr">
        <is>
          <t>Pleasanton, CA, United States</t>
        </is>
      </c>
      <c r="F13" s="15" t="n">
        <v>46247</v>
      </c>
      <c r="G13" s="16">
        <f>$B$3-F13</f>
        <v/>
      </c>
      <c r="H13" s="13" t="inlineStr">
        <is>
          <t>Oracle Cloud</t>
        </is>
      </c>
      <c r="I13" s="13" t="inlineStr">
        <is>
          <t>752239</t>
        </is>
      </c>
      <c r="J13" s="17" t="inlineStr">
        <is>
          <t>Open posting</t>
        </is>
      </c>
    </row>
    <row r="14">
      <c r="A14" s="6" t="n">
        <v>82</v>
      </c>
      <c r="B14" s="7" t="inlineStr">
        <is>
          <t>Oracle</t>
        </is>
      </c>
      <c r="C14" s="8" t="inlineStr">
        <is>
          <t>Oracle Life Sciences-Data Analyst- Oncology</t>
        </is>
      </c>
      <c r="D14" s="7" t="inlineStr">
        <is>
          <t>Data Analyst</t>
        </is>
      </c>
      <c r="E14" s="8" t="inlineStr">
        <is>
          <t>United States</t>
        </is>
      </c>
      <c r="F14" s="9" t="n">
        <v>46247</v>
      </c>
      <c r="G14" s="10">
        <f>$B$3-F14</f>
        <v/>
      </c>
      <c r="H14" s="7" t="inlineStr">
        <is>
          <t>Oracle Cloud</t>
        </is>
      </c>
      <c r="I14" s="7" t="inlineStr">
        <is>
          <t>340694</t>
        </is>
      </c>
      <c r="J14" s="11" t="inlineStr">
        <is>
          <t>Open posting</t>
        </is>
      </c>
    </row>
    <row r="15">
      <c r="A15" s="12" t="n">
        <v>88</v>
      </c>
      <c r="B15" s="13" t="inlineStr">
        <is>
          <t>Intel</t>
        </is>
      </c>
      <c r="C15" s="14" t="inlineStr">
        <is>
          <t>Data Analyst, Enterprise Data Governance Team</t>
        </is>
      </c>
      <c r="D15" s="13" t="inlineStr">
        <is>
          <t>Data Analyst</t>
        </is>
      </c>
      <c r="E15" s="14" t="inlineStr">
        <is>
          <t>US, Arizona, Phoenix; US, Oregon, Hillsboro; US, California, Folsom; US, California, Santa Clara</t>
        </is>
      </c>
      <c r="F15" s="15" t="n">
        <v>46247</v>
      </c>
      <c r="G15" s="16">
        <f>$B$3-F15</f>
        <v/>
      </c>
      <c r="H15" s="13" t="inlineStr">
        <is>
          <t>Workday</t>
        </is>
      </c>
      <c r="I15" s="13" t="inlineStr">
        <is>
          <t>JR0286387</t>
        </is>
      </c>
      <c r="J15" s="17" t="inlineStr">
        <is>
          <t>Open posting</t>
        </is>
      </c>
    </row>
    <row r="16">
      <c r="A16" s="6" t="n">
        <v>91</v>
      </c>
      <c r="B16" s="7" t="inlineStr">
        <is>
          <t>General Dynamics</t>
        </is>
      </c>
      <c r="C16" s="8" t="inlineStr">
        <is>
          <t>Statistician/Data Analyst</t>
        </is>
      </c>
      <c r="D16" s="7" t="inlineStr">
        <is>
          <t>Data Analyst</t>
        </is>
      </c>
      <c r="E16" s="8" t="inlineStr">
        <is>
          <t>USA DC Washington</t>
        </is>
      </c>
      <c r="F16" s="9" t="n">
        <v>46247</v>
      </c>
      <c r="G16" s="10">
        <f>$B$3-F16</f>
        <v/>
      </c>
      <c r="H16" s="7" t="inlineStr">
        <is>
          <t>Workday</t>
        </is>
      </c>
      <c r="I16" s="7" t="inlineStr">
        <is>
          <t>RQ226086</t>
        </is>
      </c>
      <c r="J16" s="11" t="inlineStr">
        <is>
          <t>Open posting</t>
        </is>
      </c>
    </row>
    <row r="17">
      <c r="A17" s="12" t="n">
        <v>91</v>
      </c>
      <c r="B17" s="13" t="inlineStr">
        <is>
          <t>General Dynamics</t>
        </is>
      </c>
      <c r="C17" s="14" t="inlineStr">
        <is>
          <t>SNOW Data Analyst -  TS/SCI w/Poly</t>
        </is>
      </c>
      <c r="D17" s="13" t="inlineStr">
        <is>
          <t>Data Analyst</t>
        </is>
      </c>
      <c r="E17" s="14" t="inlineStr">
        <is>
          <t>USA MD Annapolis Junction</t>
        </is>
      </c>
      <c r="F17" s="15" t="n">
        <v>46247</v>
      </c>
      <c r="G17" s="16">
        <f>$B$3-F17</f>
        <v/>
      </c>
      <c r="H17" s="13" t="inlineStr">
        <is>
          <t>Workday</t>
        </is>
      </c>
      <c r="I17" s="13" t="inlineStr">
        <is>
          <t>RQ226401</t>
        </is>
      </c>
      <c r="J17" s="17" t="inlineStr">
        <is>
          <t>Open posting</t>
        </is>
      </c>
    </row>
    <row r="18">
      <c r="A18" s="6" t="n">
        <v>91</v>
      </c>
      <c r="B18" s="7" t="inlineStr">
        <is>
          <t>General Dynamics</t>
        </is>
      </c>
      <c r="C18" s="8" t="inlineStr">
        <is>
          <t>Senior Strategic Business Analyst - Cloud Expertise</t>
        </is>
      </c>
      <c r="D18" s="7" t="inlineStr">
        <is>
          <t>Senior Business Analyst</t>
        </is>
      </c>
      <c r="E18" s="8" t="inlineStr">
        <is>
          <t>Any Location / Remote</t>
        </is>
      </c>
      <c r="F18" s="9" t="n">
        <v>46247</v>
      </c>
      <c r="G18" s="10">
        <f>$B$3-F18</f>
        <v/>
      </c>
      <c r="H18" s="7" t="inlineStr">
        <is>
          <t>Workday</t>
        </is>
      </c>
      <c r="I18" s="7" t="inlineStr">
        <is>
          <t>RQ226088</t>
        </is>
      </c>
      <c r="J18" s="11" t="inlineStr">
        <is>
          <t>Open posting</t>
        </is>
      </c>
    </row>
    <row r="19">
      <c r="A19" s="12" t="n">
        <v>94</v>
      </c>
      <c r="B19" s="13" t="inlineStr">
        <is>
          <t>TIAA</t>
        </is>
      </c>
      <c r="C19" s="14" t="inlineStr">
        <is>
          <t>Lead Data Analyst</t>
        </is>
      </c>
      <c r="D19" s="13" t="inlineStr">
        <is>
          <t>Senior Data Analyst</t>
        </is>
      </c>
      <c r="E19" s="14" t="inlineStr">
        <is>
          <t>Dallas, TX, USA; Charlotte, NC, USA</t>
        </is>
      </c>
      <c r="F19" s="15" t="n">
        <v>46247</v>
      </c>
      <c r="G19" s="16">
        <f>$B$3-F19</f>
        <v/>
      </c>
      <c r="H19" s="13" t="inlineStr">
        <is>
          <t>Workday</t>
        </is>
      </c>
      <c r="I19" s="13" t="inlineStr">
        <is>
          <t>R260500020</t>
        </is>
      </c>
      <c r="J19" s="17" t="inlineStr">
        <is>
          <t>Open posting</t>
        </is>
      </c>
    </row>
    <row r="20">
      <c r="A20" s="6" t="n">
        <v>12</v>
      </c>
      <c r="B20" s="7" t="inlineStr">
        <is>
          <t>JPMorgan Chase</t>
        </is>
      </c>
      <c r="C20" s="8" t="inlineStr">
        <is>
          <t>AWM:Product Owner / Business Analyst</t>
        </is>
      </c>
      <c r="D20" s="7" t="inlineStr">
        <is>
          <t>Business Analyst</t>
        </is>
      </c>
      <c r="E20" s="8" t="inlineStr">
        <is>
          <t>Jersey City, NJ, United States</t>
        </is>
      </c>
      <c r="F20" s="9" t="n">
        <v>46246</v>
      </c>
      <c r="G20" s="10">
        <f>$B$3-F20</f>
        <v/>
      </c>
      <c r="H20" s="7" t="inlineStr">
        <is>
          <t>Oracle Cloud</t>
        </is>
      </c>
      <c r="I20" s="7" t="inlineStr">
        <is>
          <t>210779878</t>
        </is>
      </c>
      <c r="J20" s="11" t="inlineStr">
        <is>
          <t>Open posting</t>
        </is>
      </c>
    </row>
    <row r="21">
      <c r="A21" s="12" t="n">
        <v>15</v>
      </c>
      <c r="B21" s="13" t="inlineStr">
        <is>
          <t>Cardinal Health</t>
        </is>
      </c>
      <c r="C21" s="14" t="inlineStr">
        <is>
          <t>Senior Data Analyst</t>
        </is>
      </c>
      <c r="D21" s="13" t="inlineStr">
        <is>
          <t>Senior Data Analyst</t>
        </is>
      </c>
      <c r="E21" s="14" t="inlineStr">
        <is>
          <t>US-Nationwide-FIELD</t>
        </is>
      </c>
      <c r="F21" s="15" t="n">
        <v>46246</v>
      </c>
      <c r="G21" s="16">
        <f>$B$3-F21</f>
        <v/>
      </c>
      <c r="H21" s="13" t="inlineStr">
        <is>
          <t>Workday</t>
        </is>
      </c>
      <c r="I21" s="13" t="inlineStr">
        <is>
          <t>20185427</t>
        </is>
      </c>
      <c r="J21" s="17" t="inlineStr">
        <is>
          <t>Open posting</t>
        </is>
      </c>
    </row>
    <row r="22">
      <c r="A22" s="6" t="n">
        <v>15</v>
      </c>
      <c r="B22" s="7" t="inlineStr">
        <is>
          <t>Cardinal Health</t>
        </is>
      </c>
      <c r="C22" s="8" t="inlineStr">
        <is>
          <t>Business Analyst</t>
        </is>
      </c>
      <c r="D22" s="7" t="inlineStr">
        <is>
          <t>Business Analyst</t>
        </is>
      </c>
      <c r="E22" s="8" t="inlineStr">
        <is>
          <t>US-Nationwide-FIELD</t>
        </is>
      </c>
      <c r="F22" s="9" t="n">
        <v>46246</v>
      </c>
      <c r="G22" s="10">
        <f>$B$3-F22</f>
        <v/>
      </c>
      <c r="H22" s="7" t="inlineStr">
        <is>
          <t>Workday</t>
        </is>
      </c>
      <c r="I22" s="7" t="inlineStr">
        <is>
          <t>20185404</t>
        </is>
      </c>
      <c r="J22" s="11" t="inlineStr">
        <is>
          <t>Open posting</t>
        </is>
      </c>
    </row>
    <row r="23">
      <c r="A23" s="12" t="n">
        <v>15</v>
      </c>
      <c r="B23" s="13" t="inlineStr">
        <is>
          <t>Cardinal Health</t>
        </is>
      </c>
      <c r="C23" s="14" t="inlineStr">
        <is>
          <t>Consultant, IT Product/Implementation Business Analyst</t>
        </is>
      </c>
      <c r="D23" s="13" t="inlineStr">
        <is>
          <t>Business Analyst</t>
        </is>
      </c>
      <c r="E23" s="14" t="inlineStr">
        <is>
          <t>US-Nationwide-FIELD</t>
        </is>
      </c>
      <c r="F23" s="15" t="n">
        <v>46246</v>
      </c>
      <c r="G23" s="16">
        <f>$B$3-F23</f>
        <v/>
      </c>
      <c r="H23" s="13" t="inlineStr">
        <is>
          <t>Workday</t>
        </is>
      </c>
      <c r="I23" s="13" t="inlineStr">
        <is>
          <t>20185405</t>
        </is>
      </c>
      <c r="J23" s="17" t="inlineStr">
        <is>
          <t>Open posting</t>
        </is>
      </c>
    </row>
    <row r="24">
      <c r="A24" s="6" t="n">
        <v>19</v>
      </c>
      <c r="B24" s="7" t="inlineStr">
        <is>
          <t>Centene</t>
        </is>
      </c>
      <c r="C24" s="8" t="inlineStr">
        <is>
          <t>Data Analyst III (Healthcare Analytics)</t>
        </is>
      </c>
      <c r="D24" s="7" t="inlineStr">
        <is>
          <t>Data Analyst</t>
        </is>
      </c>
      <c r="E24" s="8" t="inlineStr">
        <is>
          <t>Remote-FL</t>
        </is>
      </c>
      <c r="F24" s="9" t="n">
        <v>46246</v>
      </c>
      <c r="G24" s="10">
        <f>$B$3-F24</f>
        <v/>
      </c>
      <c r="H24" s="7" t="inlineStr">
        <is>
          <t>Workday</t>
        </is>
      </c>
      <c r="I24" s="7" t="inlineStr">
        <is>
          <t>1648823</t>
        </is>
      </c>
      <c r="J24" s="11" t="inlineStr">
        <is>
          <t>Open posting</t>
        </is>
      </c>
    </row>
    <row r="25">
      <c r="A25" s="12" t="n">
        <v>23</v>
      </c>
      <c r="B25" s="13" t="inlineStr">
        <is>
          <t>General Motors</t>
        </is>
      </c>
      <c r="C25" s="14" t="inlineStr">
        <is>
          <t>Safety Field Investigations - Data Analyst</t>
        </is>
      </c>
      <c r="D25" s="13" t="inlineStr">
        <is>
          <t>Data Analyst</t>
        </is>
      </c>
      <c r="E25" s="14" t="inlineStr">
        <is>
          <t>Warren, Michigan, United States of America</t>
        </is>
      </c>
      <c r="F25" s="15" t="n">
        <v>46246</v>
      </c>
      <c r="G25" s="16">
        <f>$B$3-F25</f>
        <v/>
      </c>
      <c r="H25" s="13" t="inlineStr">
        <is>
          <t>Workday</t>
        </is>
      </c>
      <c r="I25" s="13" t="inlineStr">
        <is>
          <t>JR-202615306</t>
        </is>
      </c>
      <c r="J25" s="17" t="inlineStr">
        <is>
          <t>Open posting</t>
        </is>
      </c>
    </row>
    <row r="26">
      <c r="A26" s="6" t="n">
        <v>48</v>
      </c>
      <c r="B26" s="7" t="inlineStr">
        <is>
          <t>UPS</t>
        </is>
      </c>
      <c r="C26" s="8" t="inlineStr">
        <is>
          <t>CRM Business Analyst</t>
        </is>
      </c>
      <c r="D26" s="7" t="inlineStr">
        <is>
          <t>Business Analyst</t>
        </is>
      </c>
      <c r="E26" s="8" t="inlineStr">
        <is>
          <t>US - UPS CORPORATE OFFICES (GACOR)</t>
        </is>
      </c>
      <c r="F26" s="9" t="n">
        <v>46246</v>
      </c>
      <c r="G26" s="10">
        <f>$B$3-F26</f>
        <v/>
      </c>
      <c r="H26" s="7" t="inlineStr">
        <is>
          <t>Workday</t>
        </is>
      </c>
      <c r="I26" s="7" t="inlineStr">
        <is>
          <t>R26027670</t>
        </is>
      </c>
      <c r="J26" s="11" t="inlineStr">
        <is>
          <t>Open posting</t>
        </is>
      </c>
    </row>
    <row r="27">
      <c r="A27" s="12" t="n">
        <v>63</v>
      </c>
      <c r="B27" s="13" t="inlineStr">
        <is>
          <t>Capital One Financial</t>
        </is>
      </c>
      <c r="C27" s="14" t="inlineStr">
        <is>
          <t>Business Analyst Intern - Summer 2027</t>
        </is>
      </c>
      <c r="D27" s="13" t="inlineStr">
        <is>
          <t>Business Analyst</t>
        </is>
      </c>
      <c r="E27" s="14" t="inlineStr">
        <is>
          <t>McLean, VA; Richmond, VA; Chicago, IL; New York, NY; Plano, TX</t>
        </is>
      </c>
      <c r="F27" s="15" t="n">
        <v>46246</v>
      </c>
      <c r="G27" s="16">
        <f>$B$3-F27</f>
        <v/>
      </c>
      <c r="H27" s="13" t="inlineStr">
        <is>
          <t>Workday</t>
        </is>
      </c>
      <c r="I27" s="13" t="inlineStr">
        <is>
          <t>R244322</t>
        </is>
      </c>
      <c r="J27" s="17" t="inlineStr">
        <is>
          <t>Open posting</t>
        </is>
      </c>
    </row>
    <row r="28">
      <c r="A28" s="6" t="n">
        <v>63</v>
      </c>
      <c r="B28" s="7" t="inlineStr">
        <is>
          <t>Capital One Financial</t>
        </is>
      </c>
      <c r="C28" s="8" t="inlineStr">
        <is>
          <t>Senior Business Analyst, Credit Loss Forecast</t>
        </is>
      </c>
      <c r="D28" s="7" t="inlineStr">
        <is>
          <t>Senior Business Analyst</t>
        </is>
      </c>
      <c r="E28" s="8" t="inlineStr">
        <is>
          <t>McLean, VA</t>
        </is>
      </c>
      <c r="F28" s="9" t="n">
        <v>46246</v>
      </c>
      <c r="G28" s="10">
        <f>$B$3-F28</f>
        <v/>
      </c>
      <c r="H28" s="7" t="inlineStr">
        <is>
          <t>Workday</t>
        </is>
      </c>
      <c r="I28" s="7" t="inlineStr">
        <is>
          <t>R243495</t>
        </is>
      </c>
      <c r="J28" s="11" t="inlineStr">
        <is>
          <t>Open posting</t>
        </is>
      </c>
    </row>
    <row r="29">
      <c r="A29" s="12" t="n">
        <v>63</v>
      </c>
      <c r="B29" s="13" t="inlineStr">
        <is>
          <t>Capital One Financial</t>
        </is>
      </c>
      <c r="C29" s="14" t="inlineStr">
        <is>
          <t>Senior Business Analyst, In-person Experience Strategy</t>
        </is>
      </c>
      <c r="D29" s="13" t="inlineStr">
        <is>
          <t>Senior Business Analyst</t>
        </is>
      </c>
      <c r="E29" s="14" t="inlineStr">
        <is>
          <t>McLean, VA; Richmond, VA</t>
        </is>
      </c>
      <c r="F29" s="15" t="n">
        <v>46246</v>
      </c>
      <c r="G29" s="16">
        <f>$B$3-F29</f>
        <v/>
      </c>
      <c r="H29" s="13" t="inlineStr">
        <is>
          <t>Workday</t>
        </is>
      </c>
      <c r="I29" s="13" t="inlineStr">
        <is>
          <t>R248140</t>
        </is>
      </c>
      <c r="J29" s="17" t="inlineStr">
        <is>
          <t>Open posting</t>
        </is>
      </c>
    </row>
    <row r="30">
      <c r="A30" s="6" t="n">
        <v>63</v>
      </c>
      <c r="B30" s="7" t="inlineStr">
        <is>
          <t>Capital One Financial</t>
        </is>
      </c>
      <c r="C30" s="8" t="inlineStr">
        <is>
          <t>Senior Business Analyst- PULSE - Global Payment Network</t>
        </is>
      </c>
      <c r="D30" s="7" t="inlineStr">
        <is>
          <t>Senior Business Analyst</t>
        </is>
      </c>
      <c r="E30" s="8" t="inlineStr">
        <is>
          <t>Houston, TX; McLean, VA; Riverwoods, IL</t>
        </is>
      </c>
      <c r="F30" s="9" t="n">
        <v>46246</v>
      </c>
      <c r="G30" s="10">
        <f>$B$3-F30</f>
        <v/>
      </c>
      <c r="H30" s="7" t="inlineStr">
        <is>
          <t>Workday</t>
        </is>
      </c>
      <c r="I30" s="7" t="inlineStr">
        <is>
          <t>R248918</t>
        </is>
      </c>
      <c r="J30" s="11" t="inlineStr">
        <is>
          <t>Open posting</t>
        </is>
      </c>
    </row>
    <row r="31">
      <c r="A31" s="12" t="n">
        <v>82</v>
      </c>
      <c r="B31" s="13" t="inlineStr">
        <is>
          <t>Oracle</t>
        </is>
      </c>
      <c r="C31" s="14" t="inlineStr">
        <is>
          <t>Principal HR Data Analyst</t>
        </is>
      </c>
      <c r="D31" s="13" t="inlineStr">
        <is>
          <t>Senior Data Analyst</t>
        </is>
      </c>
      <c r="E31" s="14" t="inlineStr">
        <is>
          <t>United States</t>
        </is>
      </c>
      <c r="F31" s="15" t="n">
        <v>46246</v>
      </c>
      <c r="G31" s="16">
        <f>$B$3-F31</f>
        <v/>
      </c>
      <c r="H31" s="13" t="inlineStr">
        <is>
          <t>Oracle Cloud</t>
        </is>
      </c>
      <c r="I31" s="13" t="inlineStr">
        <is>
          <t>342398</t>
        </is>
      </c>
      <c r="J31" s="17" t="inlineStr">
        <is>
          <t>Open posting</t>
        </is>
      </c>
    </row>
    <row r="32">
      <c r="A32" s="6" t="n">
        <v>83</v>
      </c>
      <c r="B32" s="7" t="inlineStr">
        <is>
          <t>Cisco Systems</t>
        </is>
      </c>
      <c r="C32" s="8" t="inlineStr">
        <is>
          <t>Business Analyst</t>
        </is>
      </c>
      <c r="D32" s="7" t="inlineStr">
        <is>
          <t>Business Analyst</t>
        </is>
      </c>
      <c r="E32" s="8" t="inlineStr">
        <is>
          <t>RTP, North Carolina, US; Alpharetta, Georgia, US; Atlanta, Georgia, US; Boca Raton, Florida, US; Cary, North Carolina, US; Coral Gables, Florida, US; Durham, North Carolina, US</t>
        </is>
      </c>
      <c r="F32" s="9" t="n">
        <v>46246</v>
      </c>
      <c r="G32" s="10">
        <f>$B$3-F32</f>
        <v/>
      </c>
      <c r="H32" s="7" t="inlineStr">
        <is>
          <t>Workday</t>
        </is>
      </c>
      <c r="I32" s="7" t="inlineStr">
        <is>
          <t>2013474</t>
        </is>
      </c>
      <c r="J32" s="11" t="inlineStr">
        <is>
          <t>Open posting</t>
        </is>
      </c>
    </row>
    <row r="33">
      <c r="A33" s="12" t="n">
        <v>1</v>
      </c>
      <c r="B33" s="13" t="inlineStr">
        <is>
          <t>Amazon</t>
        </is>
      </c>
      <c r="C33" s="14" t="inlineStr">
        <is>
          <t>Communications Business Analyst, Operations Internal Communications</t>
        </is>
      </c>
      <c r="D33" s="13" t="inlineStr">
        <is>
          <t>Business Analyst</t>
        </is>
      </c>
      <c r="E33" s="14" t="inlineStr">
        <is>
          <t>Seattle, Washington, USA</t>
        </is>
      </c>
      <c r="F33" s="15" t="n">
        <v>46245</v>
      </c>
      <c r="G33" s="16">
        <f>$B$3-F33</f>
        <v/>
      </c>
      <c r="H33" s="13" t="inlineStr">
        <is>
          <t>amazon.jobs</t>
        </is>
      </c>
      <c r="I33" s="13" t="inlineStr">
        <is>
          <t>10499284</t>
        </is>
      </c>
      <c r="J33" s="17" t="inlineStr">
        <is>
          <t>Open posting</t>
        </is>
      </c>
    </row>
    <row r="34">
      <c r="A34" s="6" t="n">
        <v>1</v>
      </c>
      <c r="B34" s="7" t="inlineStr">
        <is>
          <t>Amazon</t>
        </is>
      </c>
      <c r="C34" s="8" t="inlineStr">
        <is>
          <t>Business Analyst III - AMZ10666414</t>
        </is>
      </c>
      <c r="D34" s="7" t="inlineStr">
        <is>
          <t>Business Analyst</t>
        </is>
      </c>
      <c r="E34" s="8" t="inlineStr">
        <is>
          <t>San Diego, California, USA</t>
        </is>
      </c>
      <c r="F34" s="9" t="n">
        <v>46245</v>
      </c>
      <c r="G34" s="10">
        <f>$B$3-F34</f>
        <v/>
      </c>
      <c r="H34" s="7" t="inlineStr">
        <is>
          <t>amazon.jobs</t>
        </is>
      </c>
      <c r="I34" s="7" t="inlineStr">
        <is>
          <t>10498619</t>
        </is>
      </c>
      <c r="J34" s="11" t="inlineStr">
        <is>
          <t>Open posting</t>
        </is>
      </c>
    </row>
    <row r="35">
      <c r="A35" s="12" t="n">
        <v>1</v>
      </c>
      <c r="B35" s="13" t="inlineStr">
        <is>
          <t>Amazon</t>
        </is>
      </c>
      <c r="C35" s="14" t="inlineStr">
        <is>
          <t>Business Analyst, Fuse Billing Operations</t>
        </is>
      </c>
      <c r="D35" s="13" t="inlineStr">
        <is>
          <t>Business Analyst</t>
        </is>
      </c>
      <c r="E35" s="14" t="inlineStr">
        <is>
          <t>Seattle, Washington, USA</t>
        </is>
      </c>
      <c r="F35" s="15" t="n">
        <v>46245</v>
      </c>
      <c r="G35" s="16">
        <f>$B$3-F35</f>
        <v/>
      </c>
      <c r="H35" s="13" t="inlineStr">
        <is>
          <t>amazon.jobs</t>
        </is>
      </c>
      <c r="I35" s="13" t="inlineStr">
        <is>
          <t>10498893</t>
        </is>
      </c>
      <c r="J35" s="17" t="inlineStr">
        <is>
          <t>Open posting</t>
        </is>
      </c>
    </row>
    <row r="36">
      <c r="A36" s="6" t="n">
        <v>1</v>
      </c>
      <c r="B36" s="7" t="inlineStr">
        <is>
          <t>Amazon</t>
        </is>
      </c>
      <c r="C36" s="8" t="inlineStr">
        <is>
          <t>Senior Business Analyst, Seller External Relations</t>
        </is>
      </c>
      <c r="D36" s="7" t="inlineStr">
        <is>
          <t>Senior Business Analyst</t>
        </is>
      </c>
      <c r="E36" s="8" t="inlineStr">
        <is>
          <t>Seattle, Washington, USA</t>
        </is>
      </c>
      <c r="F36" s="9" t="n">
        <v>46245</v>
      </c>
      <c r="G36" s="10">
        <f>$B$3-F36</f>
        <v/>
      </c>
      <c r="H36" s="7" t="inlineStr">
        <is>
          <t>amazon.jobs</t>
        </is>
      </c>
      <c r="I36" s="7" t="inlineStr">
        <is>
          <t>10498849</t>
        </is>
      </c>
      <c r="J36" s="11" t="inlineStr">
        <is>
          <t>Open posting</t>
        </is>
      </c>
    </row>
    <row r="37">
      <c r="A37" s="12" t="n">
        <v>18</v>
      </c>
      <c r="B37" s="13" t="inlineStr">
        <is>
          <t>Elevance Health</t>
        </is>
      </c>
      <c r="C37" s="14" t="inlineStr">
        <is>
          <t>Business Analyst II</t>
        </is>
      </c>
      <c r="D37" s="13" t="inlineStr">
        <is>
          <t>Business Analyst</t>
        </is>
      </c>
      <c r="E37" s="14" t="inlineStr">
        <is>
          <t>GA-ATLANTA, 740 W PEACHTREE ST NW; VA-ASHBURN, 22001 LOUDOUN COUNTY PKWY, STE E1-2; TN-NASHVILLE, 22 CENTURY BLVD, STE 310; FL-TAMPA, 5411 SKYCENTER DR, STE 700 &amp; 800; FL-MIAMI, 11430 NW 20TH ST, STE 200 &amp; 300; CA-WALNUT CREEK, 2121 N CALIFORNIA BLVD, 7TH FL; NV-LAS VEGAS, 3634 S MARYLAND PKWY; TX-GRAND PRAIRIE, 2505 N HWY 360, STE 200 &amp; 300; VA-NORFOLK, 5800 NORTHAMPTON BLVD; IL-CHICAGO, 233 S WACKER DR, STE 3700</t>
        </is>
      </c>
      <c r="F37" s="15" t="n">
        <v>46245</v>
      </c>
      <c r="G37" s="16">
        <f>$B$3-F37</f>
        <v/>
      </c>
      <c r="H37" s="13" t="inlineStr">
        <is>
          <t>Workday</t>
        </is>
      </c>
      <c r="I37" s="13" t="inlineStr">
        <is>
          <t>JR202664</t>
        </is>
      </c>
      <c r="J37" s="17" t="inlineStr">
        <is>
          <t>Open posting</t>
        </is>
      </c>
    </row>
    <row r="38">
      <c r="A38" s="6" t="n">
        <v>18</v>
      </c>
      <c r="B38" s="7" t="inlineStr">
        <is>
          <t>Elevance Health</t>
        </is>
      </c>
      <c r="C38" s="8" t="inlineStr">
        <is>
          <t>Sr Test Analyst PBM (Business Analyst III)</t>
        </is>
      </c>
      <c r="D38" s="7" t="inlineStr">
        <is>
          <t>Senior Business Analyst</t>
        </is>
      </c>
      <c r="E38" s="8" t="inlineStr">
        <is>
          <t>TX-GRAND PRAIRIE, 2505 N HWY 360, STE 200 &amp; 300; GA-ATLANTA, 740 W PEACHTREE ST NW; NC-DURHAM, 1960 IVY CREEK BLVD, 2ND FL; OH-MASON, 4361 IRWIN SIMPSON RD</t>
        </is>
      </c>
      <c r="F38" s="9" t="n">
        <v>46245</v>
      </c>
      <c r="G38" s="10">
        <f>$B$3-F38</f>
        <v/>
      </c>
      <c r="H38" s="7" t="inlineStr">
        <is>
          <t>Workday</t>
        </is>
      </c>
      <c r="I38" s="7" t="inlineStr">
        <is>
          <t>JR200042</t>
        </is>
      </c>
      <c r="J38" s="11" t="inlineStr">
        <is>
          <t>Open posting</t>
        </is>
      </c>
    </row>
    <row r="39">
      <c r="A39" s="12" t="n">
        <v>39</v>
      </c>
      <c r="B39" s="13" t="inlineStr">
        <is>
          <t>Morgan Stanley</t>
        </is>
      </c>
      <c r="C39" s="14" t="inlineStr">
        <is>
          <t>Lead Business Analyst - Parametric</t>
        </is>
      </c>
      <c r="D39" s="13" t="inlineStr">
        <is>
          <t>Senior Business Analyst</t>
        </is>
      </c>
      <c r="E39" s="14" t="inlineStr">
        <is>
          <t>Boston, Massachusetts, United States of America; Alpharetta GA 1 Edison</t>
        </is>
      </c>
      <c r="F39" s="15" t="n">
        <v>46245</v>
      </c>
      <c r="G39" s="16">
        <f>$B$3-F39</f>
        <v/>
      </c>
      <c r="H39" s="13" t="inlineStr">
        <is>
          <t>Workday</t>
        </is>
      </c>
      <c r="I39" s="13" t="inlineStr">
        <is>
          <t>PT-JR038385</t>
        </is>
      </c>
      <c r="J39" s="17" t="inlineStr">
        <is>
          <t>Open posting</t>
        </is>
      </c>
    </row>
    <row r="40">
      <c r="A40" s="6" t="n">
        <v>44</v>
      </c>
      <c r="B40" s="7" t="inlineStr">
        <is>
          <t>Walt Disney</t>
        </is>
      </c>
      <c r="C40" s="8" t="inlineStr">
        <is>
          <t>Sr Business Analyst</t>
        </is>
      </c>
      <c r="D40" s="7" t="inlineStr">
        <is>
          <t>Senior Business Analyst</t>
        </is>
      </c>
      <c r="E40" s="8" t="inlineStr">
        <is>
          <t>New York, CA, USA; Bristol, CT, USA</t>
        </is>
      </c>
      <c r="F40" s="9" t="n">
        <v>46245</v>
      </c>
      <c r="G40" s="10">
        <f>$B$3-F40</f>
        <v/>
      </c>
      <c r="H40" s="7" t="inlineStr">
        <is>
          <t>Workday</t>
        </is>
      </c>
      <c r="I40" s="7" t="inlineStr">
        <is>
          <t>10157209</t>
        </is>
      </c>
      <c r="J40" s="11" t="inlineStr">
        <is>
          <t>Open posting</t>
        </is>
      </c>
    </row>
    <row r="41">
      <c r="A41" s="12" t="n">
        <v>63</v>
      </c>
      <c r="B41" s="13" t="inlineStr">
        <is>
          <t>Capital One Financial</t>
        </is>
      </c>
      <c r="C41" s="14" t="inlineStr">
        <is>
          <t>Senior Business Analyst - Credit Reporting &amp; Performance</t>
        </is>
      </c>
      <c r="D41" s="13" t="inlineStr">
        <is>
          <t>Senior Business Analyst</t>
        </is>
      </c>
      <c r="E41" s="14" t="inlineStr">
        <is>
          <t>McLean, VA</t>
        </is>
      </c>
      <c r="F41" s="15" t="n">
        <v>46245</v>
      </c>
      <c r="G41" s="16">
        <f>$B$3-F41</f>
        <v/>
      </c>
      <c r="H41" s="13" t="inlineStr">
        <is>
          <t>Workday</t>
        </is>
      </c>
      <c r="I41" s="13" t="inlineStr">
        <is>
          <t>R248806</t>
        </is>
      </c>
      <c r="J41" s="17" t="inlineStr">
        <is>
          <t>Open posting</t>
        </is>
      </c>
    </row>
    <row r="42">
      <c r="A42" s="6" t="n">
        <v>63</v>
      </c>
      <c r="B42" s="7" t="inlineStr">
        <is>
          <t>Capital One Financial</t>
        </is>
      </c>
      <c r="C42" s="8" t="inlineStr">
        <is>
          <t>Senior Business Analyst- PULSE - Global Payment Network</t>
        </is>
      </c>
      <c r="D42" s="7" t="inlineStr">
        <is>
          <t>Senior Business Analyst</t>
        </is>
      </c>
      <c r="E42" s="8" t="inlineStr">
        <is>
          <t>Houston, TX; McLean, VA; Riverwoods, IL</t>
        </is>
      </c>
      <c r="F42" s="9" t="n">
        <v>46245</v>
      </c>
      <c r="G42" s="10">
        <f>$B$3-F42</f>
        <v/>
      </c>
      <c r="H42" s="7" t="inlineStr">
        <is>
          <t>Workday</t>
        </is>
      </c>
      <c r="I42" s="7" t="inlineStr">
        <is>
          <t>R248919</t>
        </is>
      </c>
      <c r="J42" s="11" t="inlineStr">
        <is>
          <t>Open posting</t>
        </is>
      </c>
    </row>
    <row r="43">
      <c r="A43" s="12" t="n">
        <v>91</v>
      </c>
      <c r="B43" s="13" t="inlineStr">
        <is>
          <t>General Dynamics</t>
        </is>
      </c>
      <c r="C43" s="14" t="inlineStr">
        <is>
          <t>Business Analyst, Senior</t>
        </is>
      </c>
      <c r="D43" s="13" t="inlineStr">
        <is>
          <t>Senior Business Analyst</t>
        </is>
      </c>
      <c r="E43" s="14" t="inlineStr">
        <is>
          <t>USA FL MacDill AFB</t>
        </is>
      </c>
      <c r="F43" s="15" t="n">
        <v>46245</v>
      </c>
      <c r="G43" s="16">
        <f>$B$3-F43</f>
        <v/>
      </c>
      <c r="H43" s="13" t="inlineStr">
        <is>
          <t>Workday</t>
        </is>
      </c>
      <c r="I43" s="13" t="inlineStr">
        <is>
          <t>RQ225710</t>
        </is>
      </c>
      <c r="J43" s="17" t="inlineStr">
        <is>
          <t>Open posting</t>
        </is>
      </c>
    </row>
    <row r="44">
      <c r="A44" s="6" t="n">
        <v>93</v>
      </c>
      <c r="B44" s="7" t="inlineStr">
        <is>
          <t>USAA</t>
        </is>
      </c>
      <c r="C44" s="8" t="inlineStr">
        <is>
          <t>Audit Data Analyst - Senior Auditor (I)</t>
        </is>
      </c>
      <c r="D44" s="7" t="inlineStr">
        <is>
          <t>Senior Data Analyst</t>
        </is>
      </c>
      <c r="E44" s="8" t="inlineStr">
        <is>
          <t>Charlotte, NC - CENTS; San Antonio Home Office I</t>
        </is>
      </c>
      <c r="F44" s="9" t="n">
        <v>46245</v>
      </c>
      <c r="G44" s="10">
        <f>$B$3-F44</f>
        <v/>
      </c>
      <c r="H44" s="7" t="inlineStr">
        <is>
          <t>Workday</t>
        </is>
      </c>
      <c r="I44" s="7" t="inlineStr">
        <is>
          <t>R0117731</t>
        </is>
      </c>
      <c r="J44" s="11" t="inlineStr">
        <is>
          <t>Open posting</t>
        </is>
      </c>
    </row>
    <row r="45">
      <c r="A45" s="12" t="n">
        <v>8</v>
      </c>
      <c r="B45" s="13" t="inlineStr">
        <is>
          <t>McKesson</t>
        </is>
      </c>
      <c r="C45" s="14" t="inlineStr">
        <is>
          <t>Sr. SAP Vistex Business Analyst</t>
        </is>
      </c>
      <c r="D45" s="13" t="inlineStr">
        <is>
          <t>Senior Business Analyst</t>
        </is>
      </c>
      <c r="E45" s="14" t="inlineStr">
        <is>
          <t>USA, TX, Irving</t>
        </is>
      </c>
      <c r="F45" s="15" t="n">
        <v>46244</v>
      </c>
      <c r="G45" s="16">
        <f>$B$3-F45</f>
        <v/>
      </c>
      <c r="H45" s="13" t="inlineStr">
        <is>
          <t>Workday</t>
        </is>
      </c>
      <c r="I45" s="13" t="inlineStr">
        <is>
          <t>JR0152006</t>
        </is>
      </c>
      <c r="J45" s="17" t="inlineStr">
        <is>
          <t>Open posting</t>
        </is>
      </c>
    </row>
    <row r="46">
      <c r="A46" s="6" t="n">
        <v>30</v>
      </c>
      <c r="B46" s="7" t="inlineStr">
        <is>
          <t>Marathon Petroleum</t>
        </is>
      </c>
      <c r="C46" s="8" t="inlineStr">
        <is>
          <t>Senior/Lead Business Analyst</t>
        </is>
      </c>
      <c r="D46" s="7" t="inlineStr">
        <is>
          <t>Senior Business Analyst</t>
        </is>
      </c>
      <c r="E46" s="8" t="inlineStr">
        <is>
          <t>Findlay, Ohio; Houston, Texas; San Antonio, Texas</t>
        </is>
      </c>
      <c r="F46" s="9" t="n">
        <v>46244</v>
      </c>
      <c r="G46" s="10">
        <f>$B$3-F46</f>
        <v/>
      </c>
      <c r="H46" s="7" t="inlineStr">
        <is>
          <t>Workday</t>
        </is>
      </c>
      <c r="I46" s="7" t="inlineStr">
        <is>
          <t>00023212</t>
        </is>
      </c>
      <c r="J46" s="11" t="inlineStr">
        <is>
          <t>Open posting</t>
        </is>
      </c>
    </row>
    <row r="47">
      <c r="A47" s="12" t="n">
        <v>33</v>
      </c>
      <c r="B47" s="13" t="inlineStr">
        <is>
          <t>Freddie Mac</t>
        </is>
      </c>
      <c r="C47" s="14" t="inlineStr">
        <is>
          <t>Single Family Business Analyst</t>
        </is>
      </c>
      <c r="D47" s="13" t="inlineStr">
        <is>
          <t>Business Analyst</t>
        </is>
      </c>
      <c r="E47" s="14" t="inlineStr">
        <is>
          <t>McLean, VA</t>
        </is>
      </c>
      <c r="F47" s="15" t="n">
        <v>46244</v>
      </c>
      <c r="G47" s="16">
        <f>$B$3-F47</f>
        <v/>
      </c>
      <c r="H47" s="13" t="inlineStr">
        <is>
          <t>Workday</t>
        </is>
      </c>
      <c r="I47" s="13" t="inlineStr">
        <is>
          <t>JR17442</t>
        </is>
      </c>
      <c r="J47" s="17" t="inlineStr">
        <is>
          <t>Open posting</t>
        </is>
      </c>
    </row>
    <row r="48">
      <c r="A48" s="6" t="n">
        <v>63</v>
      </c>
      <c r="B48" s="7" t="inlineStr">
        <is>
          <t>Capital One Financial</t>
        </is>
      </c>
      <c r="C48" s="8" t="inlineStr">
        <is>
          <t>Senior Data Analyst - Card</t>
        </is>
      </c>
      <c r="D48" s="7" t="inlineStr">
        <is>
          <t>Senior Data Analyst</t>
        </is>
      </c>
      <c r="E48" s="8" t="inlineStr">
        <is>
          <t>McLean, VA; Richmond, VA</t>
        </is>
      </c>
      <c r="F48" s="9" t="n">
        <v>46244</v>
      </c>
      <c r="G48" s="10">
        <f>$B$3-F48</f>
        <v/>
      </c>
      <c r="H48" s="7" t="inlineStr">
        <is>
          <t>Workday</t>
        </is>
      </c>
      <c r="I48" s="7" t="inlineStr">
        <is>
          <t>R248928</t>
        </is>
      </c>
      <c r="J48" s="11" t="inlineStr">
        <is>
          <t>Open posting</t>
        </is>
      </c>
    </row>
    <row r="49">
      <c r="A49" s="12" t="n">
        <v>63</v>
      </c>
      <c r="B49" s="13" t="inlineStr">
        <is>
          <t>Capital One Financial</t>
        </is>
      </c>
      <c r="C49" s="14" t="inlineStr">
        <is>
          <t>Sr. Data Analyst - Card</t>
        </is>
      </c>
      <c r="D49" s="13" t="inlineStr">
        <is>
          <t>Senior Data Analyst</t>
        </is>
      </c>
      <c r="E49" s="14" t="inlineStr">
        <is>
          <t>McLean, VA; Richmond, VA</t>
        </is>
      </c>
      <c r="F49" s="15" t="n">
        <v>46244</v>
      </c>
      <c r="G49" s="16">
        <f>$B$3-F49</f>
        <v/>
      </c>
      <c r="H49" s="13" t="inlineStr">
        <is>
          <t>Workday</t>
        </is>
      </c>
      <c r="I49" s="13" t="inlineStr">
        <is>
          <t>R248849</t>
        </is>
      </c>
      <c r="J49" s="17" t="inlineStr">
        <is>
          <t>Open posting</t>
        </is>
      </c>
    </row>
    <row r="50">
      <c r="A50" s="6" t="n">
        <v>63</v>
      </c>
      <c r="B50" s="7" t="inlineStr">
        <is>
          <t>Capital One Financial</t>
        </is>
      </c>
      <c r="C50" s="8" t="inlineStr">
        <is>
          <t>Sr. Business Analyst</t>
        </is>
      </c>
      <c r="D50" s="7" t="inlineStr">
        <is>
          <t>Senior Business Analyst</t>
        </is>
      </c>
      <c r="E50" s="8" t="inlineStr">
        <is>
          <t>Plano, TX</t>
        </is>
      </c>
      <c r="F50" s="9" t="n">
        <v>46244</v>
      </c>
      <c r="G50" s="10">
        <f>$B$3-F50</f>
        <v/>
      </c>
      <c r="H50" s="7" t="inlineStr">
        <is>
          <t>Workday</t>
        </is>
      </c>
      <c r="I50" s="7" t="inlineStr">
        <is>
          <t>R248897</t>
        </is>
      </c>
      <c r="J50" s="11" t="inlineStr">
        <is>
          <t>Open posting</t>
        </is>
      </c>
    </row>
    <row r="52">
      <c r="A52" s="18" t="inlineStr">
        <is>
          <t>Summary</t>
        </is>
      </c>
    </row>
    <row r="53">
      <c r="A53" s="19" t="inlineStr">
        <is>
          <t>Total openings</t>
        </is>
      </c>
      <c r="B53" s="20">
        <f>COUNTA(C6:C50)</f>
        <v/>
      </c>
    </row>
    <row r="54">
      <c r="A54" s="19" t="inlineStr">
        <is>
          <t>Distinct companies</t>
        </is>
      </c>
      <c r="B54" s="20">
        <f>SUMPRODUCT(1/COUNTIF(B6:B50,B6:B50))</f>
        <v/>
      </c>
    </row>
    <row r="55">
      <c r="A55" s="19" t="inlineStr">
        <is>
          <t>Posted today</t>
        </is>
      </c>
      <c r="B55" s="20">
        <f>COUNTIF(G6:G50,0)</f>
        <v/>
      </c>
    </row>
    <row r="56">
      <c r="A56" s="19" t="inlineStr">
        <is>
          <t>Posted 1 day ago</t>
        </is>
      </c>
      <c r="B56" s="20">
        <f>COUNTIF(G6:G50,1)</f>
        <v/>
      </c>
    </row>
    <row r="57">
      <c r="A57" s="19" t="inlineStr">
        <is>
          <t>Posted 2 days ago</t>
        </is>
      </c>
      <c r="B57" s="20">
        <f>COUNTIF(G6:G50,2)</f>
        <v/>
      </c>
    </row>
    <row r="58">
      <c r="A58" s="19" t="inlineStr">
        <is>
          <t>Posted 3 days ago</t>
        </is>
      </c>
      <c r="B58" s="20">
        <f>COUNTIF(G6:G50,3)</f>
        <v/>
      </c>
    </row>
    <row r="59">
      <c r="A59" s="19" t="inlineStr">
        <is>
          <t>Data Analyst</t>
        </is>
      </c>
      <c r="B59" s="20">
        <f>COUNTIF(D6:D50,"Data Analyst")</f>
        <v/>
      </c>
    </row>
    <row r="60">
      <c r="A60" s="19" t="inlineStr">
        <is>
          <t>Senior Data Analyst</t>
        </is>
      </c>
      <c r="B60" s="20">
        <f>COUNTIF(D6:D50,"Senior Data Analyst")</f>
        <v/>
      </c>
    </row>
    <row r="61">
      <c r="A61" s="19" t="inlineStr">
        <is>
          <t>Business Analyst</t>
        </is>
      </c>
      <c r="B61" s="20">
        <f>COUNTIF(D6:D50,"Business Analyst")</f>
        <v/>
      </c>
    </row>
    <row r="62">
      <c r="A62" s="19" t="inlineStr">
        <is>
          <t>Senior Business Analyst</t>
        </is>
      </c>
      <c r="B62" s="20">
        <f>COUNTIF(D6:D50,"Senior Business Analyst")</f>
        <v/>
      </c>
    </row>
  </sheetData>
  <autoFilter ref="A5:J50"/>
  <mergeCells count="2">
    <mergeCell ref="A1:J1"/>
    <mergeCell ref="A2:J2"/>
  </mergeCells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J8" r:id="rId3"/>
    <hyperlink xmlns:r="http://schemas.openxmlformats.org/officeDocument/2006/relationships" ref="J9" r:id="rId4"/>
    <hyperlink xmlns:r="http://schemas.openxmlformats.org/officeDocument/2006/relationships" ref="J10" r:id="rId5"/>
    <hyperlink xmlns:r="http://schemas.openxmlformats.org/officeDocument/2006/relationships" ref="J11" r:id="rId6"/>
    <hyperlink xmlns:r="http://schemas.openxmlformats.org/officeDocument/2006/relationships" ref="J12" r:id="rId7"/>
    <hyperlink xmlns:r="http://schemas.openxmlformats.org/officeDocument/2006/relationships" ref="J13" r:id="rId8"/>
    <hyperlink xmlns:r="http://schemas.openxmlformats.org/officeDocument/2006/relationships" ref="J14" r:id="rId9"/>
    <hyperlink xmlns:r="http://schemas.openxmlformats.org/officeDocument/2006/relationships" ref="J15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19" r:id="rId14"/>
    <hyperlink xmlns:r="http://schemas.openxmlformats.org/officeDocument/2006/relationships" ref="J20" r:id="rId15"/>
    <hyperlink xmlns:r="http://schemas.openxmlformats.org/officeDocument/2006/relationships" ref="J21" r:id="rId16"/>
    <hyperlink xmlns:r="http://schemas.openxmlformats.org/officeDocument/2006/relationships" ref="J22" r:id="rId17"/>
    <hyperlink xmlns:r="http://schemas.openxmlformats.org/officeDocument/2006/relationships" ref="J23" r:id="rId18"/>
    <hyperlink xmlns:r="http://schemas.openxmlformats.org/officeDocument/2006/relationships" ref="J24" r:id="rId19"/>
    <hyperlink xmlns:r="http://schemas.openxmlformats.org/officeDocument/2006/relationships" ref="J25" r:id="rId20"/>
    <hyperlink xmlns:r="http://schemas.openxmlformats.org/officeDocument/2006/relationships" ref="J26" r:id="rId21"/>
    <hyperlink xmlns:r="http://schemas.openxmlformats.org/officeDocument/2006/relationships" ref="J27" r:id="rId22"/>
    <hyperlink xmlns:r="http://schemas.openxmlformats.org/officeDocument/2006/relationships" ref="J28" r:id="rId23"/>
    <hyperlink xmlns:r="http://schemas.openxmlformats.org/officeDocument/2006/relationships" ref="J29" r:id="rId24"/>
    <hyperlink xmlns:r="http://schemas.openxmlformats.org/officeDocument/2006/relationships" ref="J30" r:id="rId25"/>
    <hyperlink xmlns:r="http://schemas.openxmlformats.org/officeDocument/2006/relationships" ref="J31" r:id="rId26"/>
    <hyperlink xmlns:r="http://schemas.openxmlformats.org/officeDocument/2006/relationships" ref="J32" r:id="rId27"/>
    <hyperlink xmlns:r="http://schemas.openxmlformats.org/officeDocument/2006/relationships" ref="J33" r:id="rId28"/>
    <hyperlink xmlns:r="http://schemas.openxmlformats.org/officeDocument/2006/relationships" ref="J34" r:id="rId29"/>
    <hyperlink xmlns:r="http://schemas.openxmlformats.org/officeDocument/2006/relationships" ref="J35" r:id="rId30"/>
    <hyperlink xmlns:r="http://schemas.openxmlformats.org/officeDocument/2006/relationships" ref="J36" r:id="rId31"/>
    <hyperlink xmlns:r="http://schemas.openxmlformats.org/officeDocument/2006/relationships" ref="J37" r:id="rId32"/>
    <hyperlink xmlns:r="http://schemas.openxmlformats.org/officeDocument/2006/relationships" ref="J38" r:id="rId33"/>
    <hyperlink xmlns:r="http://schemas.openxmlformats.org/officeDocument/2006/relationships" ref="J39" r:id="rId34"/>
    <hyperlink xmlns:r="http://schemas.openxmlformats.org/officeDocument/2006/relationships" ref="J40" r:id="rId35"/>
    <hyperlink xmlns:r="http://schemas.openxmlformats.org/officeDocument/2006/relationships" ref="J41" r:id="rId36"/>
    <hyperlink xmlns:r="http://schemas.openxmlformats.org/officeDocument/2006/relationships" ref="J42" r:id="rId37"/>
    <hyperlink xmlns:r="http://schemas.openxmlformats.org/officeDocument/2006/relationships" ref="J43" r:id="rId38"/>
    <hyperlink xmlns:r="http://schemas.openxmlformats.org/officeDocument/2006/relationships" ref="J44" r:id="rId39"/>
    <hyperlink xmlns:r="http://schemas.openxmlformats.org/officeDocument/2006/relationships" ref="J45" r:id="rId40"/>
    <hyperlink xmlns:r="http://schemas.openxmlformats.org/officeDocument/2006/relationships" ref="J46" r:id="rId41"/>
    <hyperlink xmlns:r="http://schemas.openxmlformats.org/officeDocument/2006/relationships" ref="J47" r:id="rId42"/>
    <hyperlink xmlns:r="http://schemas.openxmlformats.org/officeDocument/2006/relationships" ref="J48" r:id="rId43"/>
    <hyperlink xmlns:r="http://schemas.openxmlformats.org/officeDocument/2006/relationships" ref="J49" r:id="rId44"/>
    <hyperlink xmlns:r="http://schemas.openxmlformats.org/officeDocument/2006/relationships" ref="J50" r:id="rId4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52" customWidth="1" min="3" max="3"/>
    <col width="21" customWidth="1" min="4" max="4"/>
    <col width="40" customWidth="1" min="5" max="5"/>
    <col width="13" customWidth="1" min="6" max="6"/>
    <col width="10" customWidth="1" min="7" max="7"/>
    <col width="22" customWidth="1" min="8" max="8"/>
    <col width="15" customWidth="1" min="9" max="9"/>
    <col width="42" customWidth="1" min="10" max="10"/>
  </cols>
  <sheetData>
    <row r="1">
      <c r="A1" s="1" t="inlineStr">
        <is>
          <t>Backup - US Analyst Openings Posted 4 to 7 Days Ago</t>
        </is>
      </c>
    </row>
    <row r="2">
      <c r="A2" s="2" t="inlineStr">
        <is>
          <t>Outside the 72-hour rule you set. Kept separate so the main sheet stays clean.</t>
        </is>
      </c>
    </row>
    <row r="3">
      <c r="A3" s="3" t="inlineStr">
        <is>
          <t>Pull date -&gt;</t>
        </is>
      </c>
      <c r="B3" s="4" t="n">
        <v>46247</v>
      </c>
      <c r="C3" s="2" t="inlineStr">
        <is>
          <t>Change this date and Days Old recalculates.</t>
        </is>
      </c>
    </row>
    <row r="5" ht="30" customHeight="1">
      <c r="A5" s="5" t="inlineStr">
        <is>
          <t>Fortune Rank</t>
        </is>
      </c>
      <c r="B5" s="5" t="inlineStr">
        <is>
          <t>Company</t>
        </is>
      </c>
      <c r="C5" s="5" t="inlineStr">
        <is>
          <t>Job Title</t>
        </is>
      </c>
      <c r="D5" s="5" t="inlineStr">
        <is>
          <t>Role Type</t>
        </is>
      </c>
      <c r="E5" s="5" t="inlineStr">
        <is>
          <t>Location(s) - US</t>
        </is>
      </c>
      <c r="F5" s="5" t="inlineStr">
        <is>
          <t>Posted Date</t>
        </is>
      </c>
      <c r="G5" s="5" t="inlineStr">
        <is>
          <t>Days Old</t>
        </is>
      </c>
      <c r="H5" s="5" t="inlineStr">
        <is>
          <t>Source</t>
        </is>
      </c>
      <c r="I5" s="5" t="inlineStr">
        <is>
          <t>Req ID</t>
        </is>
      </c>
      <c r="J5" s="5" t="inlineStr">
        <is>
          <t>Apply Link</t>
        </is>
      </c>
    </row>
    <row r="6">
      <c r="A6" s="6" t="n">
        <v>1</v>
      </c>
      <c r="B6" s="7" t="inlineStr">
        <is>
          <t>Amazon</t>
        </is>
      </c>
      <c r="C6" s="8" t="inlineStr">
        <is>
          <t>Senior Business Analyst, GOEST (Global Operations Enterprise Services - Tech)</t>
        </is>
      </c>
      <c r="D6" s="7" t="inlineStr">
        <is>
          <t>Senior Business Analyst</t>
        </is>
      </c>
      <c r="E6" s="8" t="inlineStr">
        <is>
          <t>Austin, Texas, USA</t>
        </is>
      </c>
      <c r="F6" s="9" t="n">
        <v>46241</v>
      </c>
      <c r="G6" s="10">
        <f>$B$3-F6</f>
        <v/>
      </c>
      <c r="H6" s="7" t="inlineStr">
        <is>
          <t>amazon.jobs</t>
        </is>
      </c>
      <c r="I6" s="7" t="inlineStr">
        <is>
          <t>10496069</t>
        </is>
      </c>
      <c r="J6" s="11" t="inlineStr">
        <is>
          <t>Open posting</t>
        </is>
      </c>
    </row>
    <row r="7">
      <c r="A7" s="12" t="n">
        <v>12</v>
      </c>
      <c r="B7" s="13" t="inlineStr">
        <is>
          <t>JPMorgan Chase</t>
        </is>
      </c>
      <c r="C7" s="14" t="inlineStr">
        <is>
          <t>Lead Solutions Analyst-Business Solution Analyst/Data Analyst</t>
        </is>
      </c>
      <c r="D7" s="13" t="inlineStr">
        <is>
          <t>Senior Data Analyst</t>
        </is>
      </c>
      <c r="E7" s="14" t="inlineStr">
        <is>
          <t>Houston, TX, United States</t>
        </is>
      </c>
      <c r="F7" s="15" t="n">
        <v>46241</v>
      </c>
      <c r="G7" s="16">
        <f>$B$3-F7</f>
        <v/>
      </c>
      <c r="H7" s="13" t="inlineStr">
        <is>
          <t>Oracle Cloud</t>
        </is>
      </c>
      <c r="I7" s="13" t="inlineStr">
        <is>
          <t>210775424</t>
        </is>
      </c>
      <c r="J7" s="17" t="inlineStr">
        <is>
          <t>Open posting</t>
        </is>
      </c>
    </row>
    <row r="8">
      <c r="A8" s="6" t="n">
        <v>15</v>
      </c>
      <c r="B8" s="7" t="inlineStr">
        <is>
          <t>Cardinal Health</t>
        </is>
      </c>
      <c r="C8" s="8" t="inlineStr">
        <is>
          <t>Data Analyst</t>
        </is>
      </c>
      <c r="D8" s="7" t="inlineStr">
        <is>
          <t>Data Analyst</t>
        </is>
      </c>
      <c r="E8" s="8" t="inlineStr">
        <is>
          <t>US-Nationwide-FIELD</t>
        </is>
      </c>
      <c r="F8" s="9" t="n">
        <v>46241</v>
      </c>
      <c r="G8" s="10">
        <f>$B$3-F8</f>
        <v/>
      </c>
      <c r="H8" s="7" t="inlineStr">
        <is>
          <t>Workday</t>
        </is>
      </c>
      <c r="I8" s="7" t="inlineStr">
        <is>
          <t>20185076</t>
        </is>
      </c>
      <c r="J8" s="11" t="inlineStr">
        <is>
          <t>Open posting</t>
        </is>
      </c>
    </row>
    <row r="9">
      <c r="A9" s="12" t="n">
        <v>15</v>
      </c>
      <c r="B9" s="13" t="inlineStr">
        <is>
          <t>Cardinal Health</t>
        </is>
      </c>
      <c r="C9" s="14" t="inlineStr">
        <is>
          <t>Genesys Cloud - Business Analyst</t>
        </is>
      </c>
      <c r="D9" s="13" t="inlineStr">
        <is>
          <t>Business Analyst</t>
        </is>
      </c>
      <c r="E9" s="14" t="inlineStr">
        <is>
          <t>US-Nationwide-FIELD</t>
        </is>
      </c>
      <c r="F9" s="15" t="n">
        <v>46241</v>
      </c>
      <c r="G9" s="16">
        <f>$B$3-F9</f>
        <v/>
      </c>
      <c r="H9" s="13" t="inlineStr">
        <is>
          <t>Workday</t>
        </is>
      </c>
      <c r="I9" s="13" t="inlineStr">
        <is>
          <t>20184929</t>
        </is>
      </c>
      <c r="J9" s="17" t="inlineStr">
        <is>
          <t>Open posting</t>
        </is>
      </c>
    </row>
    <row r="10">
      <c r="A10" s="6" t="n">
        <v>30</v>
      </c>
      <c r="B10" s="7" t="inlineStr">
        <is>
          <t>Marathon Petroleum</t>
        </is>
      </c>
      <c r="C10" s="8" t="inlineStr">
        <is>
          <t>Senior/Lead Data Analyst – Strategy &amp; Business Development - Central Support &amp; Predictive Intelligence</t>
        </is>
      </c>
      <c r="D10" s="7" t="inlineStr">
        <is>
          <t>Senior Data Analyst</t>
        </is>
      </c>
      <c r="E10" s="8" t="inlineStr">
        <is>
          <t>Findlay, Ohio; Houston, Texas</t>
        </is>
      </c>
      <c r="F10" s="9" t="n">
        <v>46241</v>
      </c>
      <c r="G10" s="10">
        <f>$B$3-F10</f>
        <v/>
      </c>
      <c r="H10" s="7" t="inlineStr">
        <is>
          <t>Workday</t>
        </is>
      </c>
      <c r="I10" s="7" t="inlineStr">
        <is>
          <t>00023202</t>
        </is>
      </c>
      <c r="J10" s="11" t="inlineStr">
        <is>
          <t>Open posting</t>
        </is>
      </c>
    </row>
    <row r="11">
      <c r="A11" s="12" t="n">
        <v>39</v>
      </c>
      <c r="B11" s="13" t="inlineStr">
        <is>
          <t>Morgan Stanley</t>
        </is>
      </c>
      <c r="C11" s="14" t="inlineStr">
        <is>
          <t>Technical Business Analyst</t>
        </is>
      </c>
      <c r="D11" s="13" t="inlineStr">
        <is>
          <t>Business Analyst</t>
        </is>
      </c>
      <c r="E11" s="14" t="inlineStr">
        <is>
          <t>New York, New York, United States of America</t>
        </is>
      </c>
      <c r="F11" s="15" t="n">
        <v>46241</v>
      </c>
      <c r="G11" s="16">
        <f>$B$3-F11</f>
        <v/>
      </c>
      <c r="H11" s="13" t="inlineStr">
        <is>
          <t>Workday</t>
        </is>
      </c>
      <c r="I11" s="13" t="inlineStr">
        <is>
          <t>PT-JR041640</t>
        </is>
      </c>
      <c r="J11" s="17" t="inlineStr">
        <is>
          <t>Open posting</t>
        </is>
      </c>
    </row>
    <row r="12">
      <c r="A12" s="6" t="n">
        <v>49</v>
      </c>
      <c r="B12" s="7" t="inlineStr">
        <is>
          <t>RTX</t>
        </is>
      </c>
      <c r="C12" s="8" t="inlineStr">
        <is>
          <t>Sr. Data Analyst (Puerto Rico)</t>
        </is>
      </c>
      <c r="D12" s="7" t="inlineStr">
        <is>
          <t>Senior Data Analyst</t>
        </is>
      </c>
      <c r="E12" s="8" t="inlineStr">
        <is>
          <t>US-PR-SANTA ISABEL-B1 ~ Felicia Industrial Park - St B1 ~ BLDG 1</t>
        </is>
      </c>
      <c r="F12" s="9" t="n">
        <v>46241</v>
      </c>
      <c r="G12" s="10">
        <f>$B$3-F12</f>
        <v/>
      </c>
      <c r="H12" s="7" t="inlineStr">
        <is>
          <t>Workday</t>
        </is>
      </c>
      <c r="I12" s="7" t="inlineStr">
        <is>
          <t>01865432</t>
        </is>
      </c>
      <c r="J12" s="11" t="inlineStr">
        <is>
          <t>Open posting</t>
        </is>
      </c>
    </row>
    <row r="13">
      <c r="A13" s="12" t="n">
        <v>91</v>
      </c>
      <c r="B13" s="13" t="inlineStr">
        <is>
          <t>General Dynamics</t>
        </is>
      </c>
      <c r="C13" s="14" t="inlineStr">
        <is>
          <t>Business Data Analyst</t>
        </is>
      </c>
      <c r="D13" s="13" t="inlineStr">
        <is>
          <t>Data Analyst</t>
        </is>
      </c>
      <c r="E13" s="14" t="inlineStr">
        <is>
          <t>Any Location / Remote</t>
        </is>
      </c>
      <c r="F13" s="15" t="n">
        <v>46241</v>
      </c>
      <c r="G13" s="16">
        <f>$B$3-F13</f>
        <v/>
      </c>
      <c r="H13" s="13" t="inlineStr">
        <is>
          <t>Workday</t>
        </is>
      </c>
      <c r="I13" s="13" t="inlineStr">
        <is>
          <t>RQ226032</t>
        </is>
      </c>
      <c r="J13" s="17" t="inlineStr">
        <is>
          <t>Open posting</t>
        </is>
      </c>
    </row>
    <row r="14">
      <c r="A14" s="6" t="n">
        <v>91</v>
      </c>
      <c r="B14" s="7" t="inlineStr">
        <is>
          <t>General Dynamics</t>
        </is>
      </c>
      <c r="C14" s="8" t="inlineStr">
        <is>
          <t>Lead Business Data Analyst</t>
        </is>
      </c>
      <c r="D14" s="7" t="inlineStr">
        <is>
          <t>Senior Data Analyst</t>
        </is>
      </c>
      <c r="E14" s="8" t="inlineStr">
        <is>
          <t>Any Location / Remote</t>
        </is>
      </c>
      <c r="F14" s="9" t="n">
        <v>46241</v>
      </c>
      <c r="G14" s="10">
        <f>$B$3-F14</f>
        <v/>
      </c>
      <c r="H14" s="7" t="inlineStr">
        <is>
          <t>Workday</t>
        </is>
      </c>
      <c r="I14" s="7" t="inlineStr">
        <is>
          <t>RQ226036</t>
        </is>
      </c>
      <c r="J14" s="11" t="inlineStr">
        <is>
          <t>Open posting</t>
        </is>
      </c>
    </row>
    <row r="15">
      <c r="A15" s="12" t="n">
        <v>91</v>
      </c>
      <c r="B15" s="13" t="inlineStr">
        <is>
          <t>General Dynamics</t>
        </is>
      </c>
      <c r="C15" s="14" t="inlineStr">
        <is>
          <t>Lead Business Analyst</t>
        </is>
      </c>
      <c r="D15" s="13" t="inlineStr">
        <is>
          <t>Senior Business Analyst</t>
        </is>
      </c>
      <c r="E15" s="14" t="inlineStr">
        <is>
          <t>Any Location / Remote</t>
        </is>
      </c>
      <c r="F15" s="15" t="n">
        <v>46241</v>
      </c>
      <c r="G15" s="16">
        <f>$B$3-F15</f>
        <v/>
      </c>
      <c r="H15" s="13" t="inlineStr">
        <is>
          <t>Workday</t>
        </is>
      </c>
      <c r="I15" s="13" t="inlineStr">
        <is>
          <t>RQ207291</t>
        </is>
      </c>
      <c r="J15" s="17" t="inlineStr">
        <is>
          <t>Open posting</t>
        </is>
      </c>
    </row>
    <row r="16">
      <c r="A16" s="6" t="n">
        <v>98</v>
      </c>
      <c r="B16" s="7" t="inlineStr">
        <is>
          <t>Coca-Cola</t>
        </is>
      </c>
      <c r="C16" s="8" t="inlineStr">
        <is>
          <t>Data Analyst</t>
        </is>
      </c>
      <c r="D16" s="7" t="inlineStr">
        <is>
          <t>Data Analyst</t>
        </is>
      </c>
      <c r="E16" s="8" t="inlineStr">
        <is>
          <t>US - GA - Atlanta</t>
        </is>
      </c>
      <c r="F16" s="9" t="n">
        <v>46241</v>
      </c>
      <c r="G16" s="10">
        <f>$B$3-F16</f>
        <v/>
      </c>
      <c r="H16" s="7" t="inlineStr">
        <is>
          <t>Workday</t>
        </is>
      </c>
      <c r="I16" s="7" t="inlineStr">
        <is>
          <t>R-144425</t>
        </is>
      </c>
      <c r="J16" s="11" t="inlineStr">
        <is>
          <t>Open posting</t>
        </is>
      </c>
    </row>
    <row r="17">
      <c r="A17" s="12" t="n">
        <v>42</v>
      </c>
      <c r="B17" s="13" t="inlineStr">
        <is>
          <t>Target</t>
        </is>
      </c>
      <c r="C17" s="14" t="inlineStr">
        <is>
          <t>Sr Data Analyst - Digital and Ecommerce (Experimentation, Math/Stats, A/B testing, ML)</t>
        </is>
      </c>
      <c r="D17" s="13" t="inlineStr">
        <is>
          <t>Senior Data Analyst</t>
        </is>
      </c>
      <c r="E17" s="14" t="inlineStr">
        <is>
          <t>1000 Nicollet Mall, Minneapolis,MN 55403-2542</t>
        </is>
      </c>
      <c r="F17" s="15" t="n">
        <v>46240</v>
      </c>
      <c r="G17" s="16">
        <f>$B$3-F17</f>
        <v/>
      </c>
      <c r="H17" s="13" t="inlineStr">
        <is>
          <t>Workday</t>
        </is>
      </c>
      <c r="I17" s="13" t="inlineStr">
        <is>
          <t>R0000437894</t>
        </is>
      </c>
      <c r="J17" s="17" t="inlineStr">
        <is>
          <t>Open posting</t>
        </is>
      </c>
    </row>
    <row r="18">
      <c r="A18" s="6" t="n">
        <v>63</v>
      </c>
      <c r="B18" s="7" t="inlineStr">
        <is>
          <t>Capital One Financial</t>
        </is>
      </c>
      <c r="C18" s="8" t="inlineStr">
        <is>
          <t>Senior Business Analyst - Strategy &amp; Transformation (Model Risk)</t>
        </is>
      </c>
      <c r="D18" s="7" t="inlineStr">
        <is>
          <t>Senior Business Analyst</t>
        </is>
      </c>
      <c r="E18" s="8" t="inlineStr">
        <is>
          <t>McLean, VA; Richmond, VA</t>
        </is>
      </c>
      <c r="F18" s="9" t="n">
        <v>46240</v>
      </c>
      <c r="G18" s="10">
        <f>$B$3-F18</f>
        <v/>
      </c>
      <c r="H18" s="7" t="inlineStr">
        <is>
          <t>Workday</t>
        </is>
      </c>
      <c r="I18" s="7" t="inlineStr">
        <is>
          <t>R247112</t>
        </is>
      </c>
      <c r="J18" s="11" t="inlineStr">
        <is>
          <t>Open posting</t>
        </is>
      </c>
    </row>
  </sheetData>
  <autoFilter ref="A5:J18"/>
  <mergeCells count="2">
    <mergeCell ref="A1:J1"/>
    <mergeCell ref="A2:J2"/>
  </mergeCells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J8" r:id="rId3"/>
    <hyperlink xmlns:r="http://schemas.openxmlformats.org/officeDocument/2006/relationships" ref="J9" r:id="rId4"/>
    <hyperlink xmlns:r="http://schemas.openxmlformats.org/officeDocument/2006/relationships" ref="J10" r:id="rId5"/>
    <hyperlink xmlns:r="http://schemas.openxmlformats.org/officeDocument/2006/relationships" ref="J11" r:id="rId6"/>
    <hyperlink xmlns:r="http://schemas.openxmlformats.org/officeDocument/2006/relationships" ref="J12" r:id="rId7"/>
    <hyperlink xmlns:r="http://schemas.openxmlformats.org/officeDocument/2006/relationships" ref="J13" r:id="rId8"/>
    <hyperlink xmlns:r="http://schemas.openxmlformats.org/officeDocument/2006/relationships" ref="J14" r:id="rId9"/>
    <hyperlink xmlns:r="http://schemas.openxmlformats.org/officeDocument/2006/relationships" ref="J15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23" customWidth="1" min="3" max="3"/>
    <col width="17" customWidth="1" min="4" max="4"/>
    <col width="50" customWidth="1" min="5" max="5"/>
    <col width="26" customWidth="1" min="6" max="6"/>
  </cols>
  <sheetData>
    <row r="1">
      <c r="A1" s="1" t="inlineStr">
        <is>
          <t>Search Coverage - All 100 Fortune Companies</t>
        </is>
      </c>
    </row>
    <row r="2">
      <c r="A2" s="2" t="inlineStr">
        <is>
          <t>67 companies were searched via a live API. 33 could not be - each is labelled with why. For those 33 a blank means UNKNOWN, not 'no openings'. Use the careers link to check by hand.</t>
        </is>
      </c>
    </row>
    <row r="4" ht="30" customHeight="1">
      <c r="A4" s="5" t="inlineStr">
        <is>
          <t>Rank</t>
        </is>
      </c>
      <c r="B4" s="5" t="inlineStr">
        <is>
          <t>Company</t>
        </is>
      </c>
      <c r="C4" s="5" t="inlineStr">
        <is>
          <t>Search Status</t>
        </is>
      </c>
      <c r="D4" s="5" t="inlineStr">
        <is>
          <t>Matches (&lt;=7d, US)</t>
        </is>
      </c>
      <c r="E4" s="5" t="inlineStr">
        <is>
          <t>Source / Reason</t>
        </is>
      </c>
      <c r="F4" s="5" t="inlineStr">
        <is>
          <t>Careers Site</t>
        </is>
      </c>
    </row>
    <row r="5">
      <c r="A5" s="21" t="n">
        <v>1</v>
      </c>
      <c r="B5" s="22" t="inlineStr">
        <is>
          <t>Amazon</t>
        </is>
      </c>
      <c r="C5" s="23" t="inlineStr">
        <is>
          <t>Searched (live API)</t>
        </is>
      </c>
      <c r="D5" s="21" t="n">
        <v>5</v>
      </c>
      <c r="E5" s="24" t="inlineStr">
        <is>
          <t>amazon.jobs search API</t>
        </is>
      </c>
      <c r="F5" s="25" t="inlineStr">
        <is>
          <t>Careers site</t>
        </is>
      </c>
    </row>
    <row r="6">
      <c r="A6" s="21" t="n">
        <v>2</v>
      </c>
      <c r="B6" s="22" t="inlineStr">
        <is>
          <t>Walmart</t>
        </is>
      </c>
      <c r="C6" s="23" t="inlineStr">
        <is>
          <t>Searched (live API)</t>
        </is>
      </c>
      <c r="D6" s="21" t="n">
        <v>0</v>
      </c>
      <c r="E6" s="24" t="inlineStr">
        <is>
          <t>Workday API (walmart.wd5/WalmartExternal)</t>
        </is>
      </c>
      <c r="F6" s="25" t="inlineStr">
        <is>
          <t>Careers site</t>
        </is>
      </c>
    </row>
    <row r="7">
      <c r="A7" s="21" t="n">
        <v>3</v>
      </c>
      <c r="B7" s="22" t="inlineStr">
        <is>
          <t>UnitedHealth Group</t>
        </is>
      </c>
      <c r="C7" s="26" t="inlineStr">
        <is>
          <t>Not searched - no API</t>
        </is>
      </c>
      <c r="D7" s="21" t="inlineStr">
        <is>
          <t>not searched</t>
        </is>
      </c>
      <c r="E7" s="24" t="inlineStr">
        <is>
          <t>Radancy (HTML only)</t>
        </is>
      </c>
      <c r="F7" s="25" t="inlineStr">
        <is>
          <t>Careers site</t>
        </is>
      </c>
    </row>
    <row r="8">
      <c r="A8" s="21" t="n">
        <v>4</v>
      </c>
      <c r="B8" s="22" t="inlineStr">
        <is>
          <t>Apple</t>
        </is>
      </c>
      <c r="C8" s="27" t="inlineStr">
        <is>
          <t>Not searched - blocked</t>
        </is>
      </c>
      <c r="D8" s="21" t="inlineStr">
        <is>
          <t>not searched</t>
        </is>
      </c>
      <c r="E8" s="24" t="inlineStr">
        <is>
          <t>Search API requires browser-issued token</t>
        </is>
      </c>
      <c r="F8" s="25" t="inlineStr">
        <is>
          <t>Careers site</t>
        </is>
      </c>
    </row>
    <row r="9">
      <c r="A9" s="21" t="n">
        <v>5</v>
      </c>
      <c r="B9" s="22" t="inlineStr">
        <is>
          <t>Alphabet (Google)</t>
        </is>
      </c>
      <c r="C9" s="27" t="inlineStr">
        <is>
          <t>Not searched - blocked</t>
        </is>
      </c>
      <c r="D9" s="21" t="inlineStr">
        <is>
          <t>not searched</t>
        </is>
      </c>
      <c r="E9" s="24" t="inlineStr">
        <is>
          <t>Public search API retired; no open endpoint</t>
        </is>
      </c>
      <c r="F9" s="25" t="inlineStr">
        <is>
          <t>Careers site</t>
        </is>
      </c>
    </row>
    <row r="10">
      <c r="A10" s="21" t="n">
        <v>6</v>
      </c>
      <c r="B10" s="22" t="inlineStr">
        <is>
          <t>CVS Health</t>
        </is>
      </c>
      <c r="C10" s="23" t="inlineStr">
        <is>
          <t>Searched (live API)</t>
        </is>
      </c>
      <c r="D10" s="21" t="n">
        <v>0</v>
      </c>
      <c r="E10" s="24" t="inlineStr">
        <is>
          <t>Workday API (cvshealth.wd1/CVS_Health_Careers)</t>
        </is>
      </c>
      <c r="F10" s="25" t="inlineStr">
        <is>
          <t>Careers site</t>
        </is>
      </c>
    </row>
    <row r="11">
      <c r="A11" s="21" t="n">
        <v>7</v>
      </c>
      <c r="B11" s="22" t="inlineStr">
        <is>
          <t>Berkshire Hathaway</t>
        </is>
      </c>
      <c r="C11" s="26" t="inlineStr">
        <is>
          <t>Not searched - no API</t>
        </is>
      </c>
      <c r="D11" s="21" t="inlineStr">
        <is>
          <t>not searched</t>
        </is>
      </c>
      <c r="E11" s="24" t="inlineStr">
        <is>
          <t>Holding company - hiring sits with subsidiaries</t>
        </is>
      </c>
      <c r="F11" s="25" t="inlineStr">
        <is>
          <t>Careers site</t>
        </is>
      </c>
    </row>
    <row r="12">
      <c r="A12" s="21" t="n">
        <v>8</v>
      </c>
      <c r="B12" s="22" t="inlineStr">
        <is>
          <t>McKesson</t>
        </is>
      </c>
      <c r="C12" s="23" t="inlineStr">
        <is>
          <t>Searched (live API)</t>
        </is>
      </c>
      <c r="D12" s="21" t="n">
        <v>1</v>
      </c>
      <c r="E12" s="24" t="inlineStr">
        <is>
          <t>Workday API (mckesson.wd3/External_Careers)</t>
        </is>
      </c>
      <c r="F12" s="25" t="inlineStr">
        <is>
          <t>Careers site</t>
        </is>
      </c>
    </row>
    <row r="13">
      <c r="A13" s="21" t="n">
        <v>9</v>
      </c>
      <c r="B13" s="22" t="inlineStr">
        <is>
          <t>Exxon Mobil</t>
        </is>
      </c>
      <c r="C13" s="26" t="inlineStr">
        <is>
          <t>Not searched - no API</t>
        </is>
      </c>
      <c r="D13" s="21" t="inlineStr">
        <is>
          <t>not searched</t>
        </is>
      </c>
      <c r="E13" s="24" t="inlineStr">
        <is>
          <t>SuccessFactors (auth required)</t>
        </is>
      </c>
      <c r="F13" s="25" t="inlineStr">
        <is>
          <t>Careers site</t>
        </is>
      </c>
    </row>
    <row r="14">
      <c r="A14" s="21" t="n">
        <v>10</v>
      </c>
      <c r="B14" s="22" t="inlineStr">
        <is>
          <t>Cencora</t>
        </is>
      </c>
      <c r="C14" s="23" t="inlineStr">
        <is>
          <t>Searched (live API)</t>
        </is>
      </c>
      <c r="D14" s="21" t="n">
        <v>0</v>
      </c>
      <c r="E14" s="24" t="inlineStr">
        <is>
          <t>Workday API (myhrabc.wd5/Global)</t>
        </is>
      </c>
      <c r="F14" s="25" t="inlineStr">
        <is>
          <t>Careers site</t>
        </is>
      </c>
    </row>
    <row r="15">
      <c r="A15" s="21" t="n">
        <v>11</v>
      </c>
      <c r="B15" s="22" t="inlineStr">
        <is>
          <t>Microsoft</t>
        </is>
      </c>
      <c r="C15" s="27" t="inlineStr">
        <is>
          <t>Not searched - blocked</t>
        </is>
      </c>
      <c r="D15" s="21" t="inlineStr">
        <is>
          <t>not searched</t>
        </is>
      </c>
      <c r="E15" s="24" t="inlineStr">
        <is>
          <t>TLS/egress policy blocked the careers API host</t>
        </is>
      </c>
      <c r="F15" s="25" t="inlineStr">
        <is>
          <t>Careers site</t>
        </is>
      </c>
    </row>
    <row r="16">
      <c r="A16" s="21" t="n">
        <v>12</v>
      </c>
      <c r="B16" s="22" t="inlineStr">
        <is>
          <t>JPMorgan Chase</t>
        </is>
      </c>
      <c r="C16" s="23" t="inlineStr">
        <is>
          <t>Searched (live API)</t>
        </is>
      </c>
      <c r="D16" s="21" t="n">
        <v>3</v>
      </c>
      <c r="E16" s="24" t="inlineStr">
        <is>
          <t>Oracle Cloud recruiting API (jpmc)</t>
        </is>
      </c>
      <c r="F16" s="25" t="inlineStr">
        <is>
          <t>Careers site</t>
        </is>
      </c>
    </row>
    <row r="17">
      <c r="A17" s="21" t="n">
        <v>13</v>
      </c>
      <c r="B17" s="22" t="inlineStr">
        <is>
          <t>Costco Wholesale</t>
        </is>
      </c>
      <c r="C17" s="23" t="inlineStr">
        <is>
          <t>Searched (live API)</t>
        </is>
      </c>
      <c r="D17" s="21" t="n">
        <v>0</v>
      </c>
      <c r="E17" s="24" t="inlineStr">
        <is>
          <t>Phenom jobs API (careers.costco.com)</t>
        </is>
      </c>
      <c r="F17" s="25" t="inlineStr">
        <is>
          <t>Careers site</t>
        </is>
      </c>
    </row>
    <row r="18">
      <c r="A18" s="21" t="n">
        <v>14</v>
      </c>
      <c r="B18" s="22" t="inlineStr">
        <is>
          <t>Cigna Group</t>
        </is>
      </c>
      <c r="C18" s="23" t="inlineStr">
        <is>
          <t>Searched (live API)</t>
        </is>
      </c>
      <c r="D18" s="21" t="n">
        <v>0</v>
      </c>
      <c r="E18" s="24" t="inlineStr">
        <is>
          <t>Workday API (cigna.wd5/cignacareers)</t>
        </is>
      </c>
      <c r="F18" s="25" t="inlineStr">
        <is>
          <t>Careers site</t>
        </is>
      </c>
    </row>
    <row r="19">
      <c r="A19" s="21" t="n">
        <v>15</v>
      </c>
      <c r="B19" s="22" t="inlineStr">
        <is>
          <t>Cardinal Health</t>
        </is>
      </c>
      <c r="C19" s="23" t="inlineStr">
        <is>
          <t>Searched (live API)</t>
        </is>
      </c>
      <c r="D19" s="21" t="n">
        <v>6</v>
      </c>
      <c r="E19" s="24" t="inlineStr">
        <is>
          <t>Workday API (cardinalhealth.wd1/EXT)</t>
        </is>
      </c>
      <c r="F19" s="25" t="inlineStr">
        <is>
          <t>Careers site</t>
        </is>
      </c>
    </row>
    <row r="20">
      <c r="A20" s="21" t="n">
        <v>16</v>
      </c>
      <c r="B20" s="22" t="inlineStr">
        <is>
          <t>Nvidia</t>
        </is>
      </c>
      <c r="C20" s="23" t="inlineStr">
        <is>
          <t>Searched (live API)</t>
        </is>
      </c>
      <c r="D20" s="21" t="n">
        <v>0</v>
      </c>
      <c r="E20" s="24" t="inlineStr">
        <is>
          <t>Workday API (nvidia.wd5/NVIDIAExternalCareerSite)</t>
        </is>
      </c>
      <c r="F20" s="25" t="inlineStr">
        <is>
          <t>Careers site</t>
        </is>
      </c>
    </row>
    <row r="21">
      <c r="A21" s="21" t="n">
        <v>17</v>
      </c>
      <c r="B21" s="22" t="inlineStr">
        <is>
          <t>Meta Platforms</t>
        </is>
      </c>
      <c r="C21" s="27" t="inlineStr">
        <is>
          <t>Not searched - blocked</t>
        </is>
      </c>
      <c r="D21" s="21" t="inlineStr">
        <is>
          <t>not searched</t>
        </is>
      </c>
      <c r="E21" s="24" t="inlineStr">
        <is>
          <t>GraphQL endpoint requires signed doc_id</t>
        </is>
      </c>
      <c r="F21" s="25" t="inlineStr">
        <is>
          <t>Careers site</t>
        </is>
      </c>
    </row>
    <row r="22">
      <c r="A22" s="21" t="n">
        <v>18</v>
      </c>
      <c r="B22" s="22" t="inlineStr">
        <is>
          <t>Elevance Health</t>
        </is>
      </c>
      <c r="C22" s="23" t="inlineStr">
        <is>
          <t>Searched (live API)</t>
        </is>
      </c>
      <c r="D22" s="21" t="n">
        <v>4</v>
      </c>
      <c r="E22" s="24" t="inlineStr">
        <is>
          <t>Workday API (elevancehealth.wd1/ANT)</t>
        </is>
      </c>
      <c r="F22" s="25" t="inlineStr">
        <is>
          <t>Careers site</t>
        </is>
      </c>
    </row>
    <row r="23">
      <c r="A23" s="21" t="n">
        <v>19</v>
      </c>
      <c r="B23" s="22" t="inlineStr">
        <is>
          <t>Centene</t>
        </is>
      </c>
      <c r="C23" s="23" t="inlineStr">
        <is>
          <t>Searched (live API)</t>
        </is>
      </c>
      <c r="D23" s="21" t="n">
        <v>1</v>
      </c>
      <c r="E23" s="24" t="inlineStr">
        <is>
          <t>Workday API (centene.wd5/Centene_External)</t>
        </is>
      </c>
      <c r="F23" s="25" t="inlineStr">
        <is>
          <t>Careers site</t>
        </is>
      </c>
    </row>
    <row r="24">
      <c r="A24" s="21" t="n">
        <v>20</v>
      </c>
      <c r="B24" s="22" t="inlineStr">
        <is>
          <t>Bank of America</t>
        </is>
      </c>
      <c r="C24" s="26" t="inlineStr">
        <is>
          <t>Not searched - no API</t>
        </is>
      </c>
      <c r="D24" s="21" t="inlineStr">
        <is>
          <t>not searched</t>
        </is>
      </c>
      <c r="E24" s="24" t="inlineStr">
        <is>
          <t>Avature / Workday (no open site slug)</t>
        </is>
      </c>
      <c r="F24" s="25" t="inlineStr">
        <is>
          <t>Careers site</t>
        </is>
      </c>
    </row>
    <row r="25">
      <c r="A25" s="21" t="n">
        <v>21</v>
      </c>
      <c r="B25" s="22" t="inlineStr">
        <is>
          <t>Chevron</t>
        </is>
      </c>
      <c r="C25" s="23" t="inlineStr">
        <is>
          <t>Searched (live API)</t>
        </is>
      </c>
      <c r="D25" s="21" t="n">
        <v>0</v>
      </c>
      <c r="E25" s="24" t="inlineStr">
        <is>
          <t>Workday API (chevron.wd5/jobs)</t>
        </is>
      </c>
      <c r="F25" s="25" t="inlineStr">
        <is>
          <t>Careers site</t>
        </is>
      </c>
    </row>
    <row r="26">
      <c r="A26" s="21" t="n">
        <v>22</v>
      </c>
      <c r="B26" s="22" t="inlineStr">
        <is>
          <t>Ford Motor</t>
        </is>
      </c>
      <c r="C26" s="26" t="inlineStr">
        <is>
          <t>Not searched - no API</t>
        </is>
      </c>
      <c r="D26" s="21" t="inlineStr">
        <is>
          <t>not searched</t>
        </is>
      </c>
      <c r="E26" s="24" t="inlineStr">
        <is>
          <t>Radancy (HTML only)</t>
        </is>
      </c>
      <c r="F26" s="25" t="inlineStr">
        <is>
          <t>Careers site</t>
        </is>
      </c>
    </row>
    <row r="27">
      <c r="A27" s="21" t="n">
        <v>23</v>
      </c>
      <c r="B27" s="22" t="inlineStr">
        <is>
          <t>General Motors</t>
        </is>
      </c>
      <c r="C27" s="23" t="inlineStr">
        <is>
          <t>Searched (live API)</t>
        </is>
      </c>
      <c r="D27" s="21" t="n">
        <v>1</v>
      </c>
      <c r="E27" s="24" t="inlineStr">
        <is>
          <t>Workday API (generalmotors.wd5/Careers_GM)</t>
        </is>
      </c>
      <c r="F27" s="25" t="inlineStr">
        <is>
          <t>Careers site</t>
        </is>
      </c>
    </row>
    <row r="28">
      <c r="A28" s="21" t="n">
        <v>24</v>
      </c>
      <c r="B28" s="22" t="inlineStr">
        <is>
          <t>Citigroup</t>
        </is>
      </c>
      <c r="C28" s="23" t="inlineStr">
        <is>
          <t>Searched (live API)</t>
        </is>
      </c>
      <c r="D28" s="21" t="n">
        <v>1</v>
      </c>
      <c r="E28" s="24" t="inlineStr">
        <is>
          <t>Workday API (citi.wd5/2)</t>
        </is>
      </c>
      <c r="F28" s="25" t="inlineStr">
        <is>
          <t>Careers site</t>
        </is>
      </c>
    </row>
    <row r="29">
      <c r="A29" s="21" t="n">
        <v>25</v>
      </c>
      <c r="B29" s="22" t="inlineStr">
        <is>
          <t>Home Depot</t>
        </is>
      </c>
      <c r="C29" s="23" t="inlineStr">
        <is>
          <t>Searched (live API)</t>
        </is>
      </c>
      <c r="D29" s="21" t="n">
        <v>0</v>
      </c>
      <c r="E29" s="24" t="inlineStr">
        <is>
          <t>Workday API (homedepot.wd5/CareerDepot)</t>
        </is>
      </c>
      <c r="F29" s="25" t="inlineStr">
        <is>
          <t>Careers site</t>
        </is>
      </c>
    </row>
    <row r="30">
      <c r="A30" s="21" t="n">
        <v>26</v>
      </c>
      <c r="B30" s="22" t="inlineStr">
        <is>
          <t>Fannie Mae</t>
        </is>
      </c>
      <c r="C30" s="23" t="inlineStr">
        <is>
          <t>Searched (live API)</t>
        </is>
      </c>
      <c r="D30" s="21" t="n">
        <v>0</v>
      </c>
      <c r="E30" s="24" t="inlineStr">
        <is>
          <t>Workday API (fanniemae.wd1/FannieMaeCareers)</t>
        </is>
      </c>
      <c r="F30" s="25" t="inlineStr">
        <is>
          <t>Careers site</t>
        </is>
      </c>
    </row>
    <row r="31">
      <c r="A31" s="21" t="n">
        <v>27</v>
      </c>
      <c r="B31" s="22" t="inlineStr">
        <is>
          <t>Kroger</t>
        </is>
      </c>
      <c r="C31" s="23" t="inlineStr">
        <is>
          <t>Searched (live API)</t>
        </is>
      </c>
      <c r="D31" s="21" t="n">
        <v>0</v>
      </c>
      <c r="E31" s="24" t="inlineStr">
        <is>
          <t>Oracle Cloud recruiting API (eluq)</t>
        </is>
      </c>
      <c r="F31" s="25" t="inlineStr">
        <is>
          <t>Careers site</t>
        </is>
      </c>
    </row>
    <row r="32">
      <c r="A32" s="21" t="n">
        <v>28</v>
      </c>
      <c r="B32" s="22" t="inlineStr">
        <is>
          <t>Verizon Communications</t>
        </is>
      </c>
      <c r="C32" s="23" t="inlineStr">
        <is>
          <t>Searched (live API)</t>
        </is>
      </c>
      <c r="D32" s="21" t="n">
        <v>0</v>
      </c>
      <c r="E32" s="24" t="inlineStr">
        <is>
          <t>Workday API (verizon.wd5/verizon-careers)</t>
        </is>
      </c>
      <c r="F32" s="25" t="inlineStr">
        <is>
          <t>Careers site</t>
        </is>
      </c>
    </row>
    <row r="33">
      <c r="A33" s="21" t="n">
        <v>29</v>
      </c>
      <c r="B33" s="22" t="inlineStr">
        <is>
          <t>Phillips 66</t>
        </is>
      </c>
      <c r="C33" s="26" t="inlineStr">
        <is>
          <t>Not searched - no API</t>
        </is>
      </c>
      <c r="D33" s="21" t="inlineStr">
        <is>
          <t>not searched</t>
        </is>
      </c>
      <c r="E33" s="24" t="inlineStr">
        <is>
          <t>SuccessFactors (auth required)</t>
        </is>
      </c>
      <c r="F33" s="25" t="inlineStr">
        <is>
          <t>Careers site</t>
        </is>
      </c>
    </row>
    <row r="34">
      <c r="A34" s="21" t="n">
        <v>30</v>
      </c>
      <c r="B34" s="22" t="inlineStr">
        <is>
          <t>Marathon Petroleum</t>
        </is>
      </c>
      <c r="C34" s="23" t="inlineStr">
        <is>
          <t>Searched (live API)</t>
        </is>
      </c>
      <c r="D34" s="21" t="n">
        <v>2</v>
      </c>
      <c r="E34" s="24" t="inlineStr">
        <is>
          <t>Workday API (mpc.wd1/MPCCareers)</t>
        </is>
      </c>
      <c r="F34" s="25" t="inlineStr">
        <is>
          <t>Careers site</t>
        </is>
      </c>
    </row>
    <row r="35">
      <c r="A35" s="21" t="n">
        <v>31</v>
      </c>
      <c r="B35" s="22" t="inlineStr">
        <is>
          <t>StoneX Group</t>
        </is>
      </c>
      <c r="C35" s="26" t="inlineStr">
        <is>
          <t>Not searched - no API</t>
        </is>
      </c>
      <c r="D35" s="21" t="inlineStr">
        <is>
          <t>not searched</t>
        </is>
      </c>
      <c r="E35" s="24" t="inlineStr">
        <is>
          <t>No public JSON endpoint found</t>
        </is>
      </c>
      <c r="F35" s="25" t="inlineStr">
        <is>
          <t>Careers site</t>
        </is>
      </c>
    </row>
    <row r="36">
      <c r="A36" s="21" t="n">
        <v>32</v>
      </c>
      <c r="B36" s="22" t="inlineStr">
        <is>
          <t>State Farm Insurance</t>
        </is>
      </c>
      <c r="C36" s="23" t="inlineStr">
        <is>
          <t>Searched (live API)</t>
        </is>
      </c>
      <c r="D36" s="21" t="n">
        <v>0</v>
      </c>
      <c r="E36" s="24" t="inlineStr">
        <is>
          <t>Phenom jobs API (jobs.statefarm.com)</t>
        </is>
      </c>
      <c r="F36" s="25" t="inlineStr">
        <is>
          <t>Careers site</t>
        </is>
      </c>
    </row>
    <row r="37">
      <c r="A37" s="21" t="n">
        <v>33</v>
      </c>
      <c r="B37" s="22" t="inlineStr">
        <is>
          <t>Freddie Mac</t>
        </is>
      </c>
      <c r="C37" s="23" t="inlineStr">
        <is>
          <t>Searched (live API)</t>
        </is>
      </c>
      <c r="D37" s="21" t="n">
        <v>1</v>
      </c>
      <c r="E37" s="24" t="inlineStr">
        <is>
          <t>Workday API (freddiemac.wd5/External)</t>
        </is>
      </c>
      <c r="F37" s="25" t="inlineStr">
        <is>
          <t>Careers site</t>
        </is>
      </c>
    </row>
    <row r="38">
      <c r="A38" s="21" t="n">
        <v>34</v>
      </c>
      <c r="B38" s="22" t="inlineStr">
        <is>
          <t>Humana</t>
        </is>
      </c>
      <c r="C38" s="23" t="inlineStr">
        <is>
          <t>Searched (live API)</t>
        </is>
      </c>
      <c r="D38" s="21" t="n">
        <v>1</v>
      </c>
      <c r="E38" s="24" t="inlineStr">
        <is>
          <t>Workday API (humana.wd5/Humana_External_Career_Site)</t>
        </is>
      </c>
      <c r="F38" s="25" t="inlineStr">
        <is>
          <t>Careers site</t>
        </is>
      </c>
    </row>
    <row r="39">
      <c r="A39" s="21" t="n">
        <v>35</v>
      </c>
      <c r="B39" s="22" t="inlineStr">
        <is>
          <t>AT&amp;T</t>
        </is>
      </c>
      <c r="C39" s="26" t="inlineStr">
        <is>
          <t>Not searched - no API</t>
        </is>
      </c>
      <c r="D39" s="21" t="inlineStr">
        <is>
          <t>not searched</t>
        </is>
      </c>
      <c r="E39" s="24" t="inlineStr">
        <is>
          <t>Radancy / Workday (no open site slug)</t>
        </is>
      </c>
      <c r="F39" s="25" t="inlineStr">
        <is>
          <t>Careers site</t>
        </is>
      </c>
    </row>
    <row r="40">
      <c r="A40" s="21" t="n">
        <v>36</v>
      </c>
      <c r="B40" s="22" t="inlineStr">
        <is>
          <t>Goldman Sachs Group</t>
        </is>
      </c>
      <c r="C40" s="26" t="inlineStr">
        <is>
          <t>Not searched - no API</t>
        </is>
      </c>
      <c r="D40" s="21" t="inlineStr">
        <is>
          <t>not searched</t>
        </is>
      </c>
      <c r="E40" s="24" t="inlineStr">
        <is>
          <t>Custom SPA (no open endpoint)</t>
        </is>
      </c>
      <c r="F40" s="25" t="inlineStr">
        <is>
          <t>Careers site</t>
        </is>
      </c>
    </row>
    <row r="41">
      <c r="A41" s="21" t="n">
        <v>37</v>
      </c>
      <c r="B41" s="22" t="inlineStr">
        <is>
          <t>Comcast</t>
        </is>
      </c>
      <c r="C41" s="23" t="inlineStr">
        <is>
          <t>Searched (live API)</t>
        </is>
      </c>
      <c r="D41" s="21" t="n">
        <v>0</v>
      </c>
      <c r="E41" s="24" t="inlineStr">
        <is>
          <t>Workday API (comcast.wd5/Comcast_Careers)</t>
        </is>
      </c>
      <c r="F41" s="25" t="inlineStr">
        <is>
          <t>Careers site</t>
        </is>
      </c>
    </row>
    <row r="42">
      <c r="A42" s="21" t="n">
        <v>38</v>
      </c>
      <c r="B42" s="22" t="inlineStr">
        <is>
          <t>Wells Fargo</t>
        </is>
      </c>
      <c r="C42" s="23" t="inlineStr">
        <is>
          <t>Searched (live API)</t>
        </is>
      </c>
      <c r="D42" s="21" t="n">
        <v>0</v>
      </c>
      <c r="E42" s="24" t="inlineStr">
        <is>
          <t>Workday API (wf.wd1/WellsFargoJobs)</t>
        </is>
      </c>
      <c r="F42" s="25" t="inlineStr">
        <is>
          <t>Careers site</t>
        </is>
      </c>
    </row>
    <row r="43">
      <c r="A43" s="21" t="n">
        <v>39</v>
      </c>
      <c r="B43" s="22" t="inlineStr">
        <is>
          <t>Morgan Stanley</t>
        </is>
      </c>
      <c r="C43" s="23" t="inlineStr">
        <is>
          <t>Searched (live API)</t>
        </is>
      </c>
      <c r="D43" s="21" t="n">
        <v>2</v>
      </c>
      <c r="E43" s="24" t="inlineStr">
        <is>
          <t>Workday API (ms.wd5/External)</t>
        </is>
      </c>
      <c r="F43" s="25" t="inlineStr">
        <is>
          <t>Careers site</t>
        </is>
      </c>
    </row>
    <row r="44">
      <c r="A44" s="21" t="n">
        <v>40</v>
      </c>
      <c r="B44" s="22" t="inlineStr">
        <is>
          <t>Valero Energy</t>
        </is>
      </c>
      <c r="C44" s="26" t="inlineStr">
        <is>
          <t>Not searched - no API</t>
        </is>
      </c>
      <c r="D44" s="21" t="inlineStr">
        <is>
          <t>not searched</t>
        </is>
      </c>
      <c r="E44" s="24" t="inlineStr">
        <is>
          <t>No public JSON endpoint found</t>
        </is>
      </c>
      <c r="F44" s="25" t="inlineStr">
        <is>
          <t>Careers site</t>
        </is>
      </c>
    </row>
    <row r="45">
      <c r="A45" s="21" t="n">
        <v>41</v>
      </c>
      <c r="B45" s="22" t="inlineStr">
        <is>
          <t>Dell Technologies</t>
        </is>
      </c>
      <c r="C45" s="23" t="inlineStr">
        <is>
          <t>Searched (live API)</t>
        </is>
      </c>
      <c r="D45" s="21" t="n">
        <v>0</v>
      </c>
      <c r="E45" s="24" t="inlineStr">
        <is>
          <t>Workday API (dell.wd1/External)</t>
        </is>
      </c>
      <c r="F45" s="25" t="inlineStr">
        <is>
          <t>Careers site</t>
        </is>
      </c>
    </row>
    <row r="46">
      <c r="A46" s="21" t="n">
        <v>42</v>
      </c>
      <c r="B46" s="22" t="inlineStr">
        <is>
          <t>Target</t>
        </is>
      </c>
      <c r="C46" s="23" t="inlineStr">
        <is>
          <t>Searched (live API)</t>
        </is>
      </c>
      <c r="D46" s="21" t="n">
        <v>1</v>
      </c>
      <c r="E46" s="24" t="inlineStr">
        <is>
          <t>Workday API (target.wd5/targetcareers)</t>
        </is>
      </c>
      <c r="F46" s="25" t="inlineStr">
        <is>
          <t>Careers site</t>
        </is>
      </c>
    </row>
    <row r="47">
      <c r="A47" s="21" t="n">
        <v>43</v>
      </c>
      <c r="B47" s="22" t="inlineStr">
        <is>
          <t>Tesla</t>
        </is>
      </c>
      <c r="C47" s="27" t="inlineStr">
        <is>
          <t>Not searched - blocked</t>
        </is>
      </c>
      <c r="D47" s="21" t="inlineStr">
        <is>
          <t>not searched</t>
        </is>
      </c>
      <c r="E47" s="24" t="inlineStr">
        <is>
          <t>Careers API blocked by bot protection (Akamai)</t>
        </is>
      </c>
      <c r="F47" s="25" t="inlineStr">
        <is>
          <t>Careers site</t>
        </is>
      </c>
    </row>
    <row r="48">
      <c r="A48" s="21" t="n">
        <v>44</v>
      </c>
      <c r="B48" s="22" t="inlineStr">
        <is>
          <t>Walt Disney</t>
        </is>
      </c>
      <c r="C48" s="23" t="inlineStr">
        <is>
          <t>Searched (live API)</t>
        </is>
      </c>
      <c r="D48" s="21" t="n">
        <v>1</v>
      </c>
      <c r="E48" s="24" t="inlineStr">
        <is>
          <t>Workday API (disney.wd5/disneycareer)</t>
        </is>
      </c>
      <c r="F48" s="25" t="inlineStr">
        <is>
          <t>Careers site</t>
        </is>
      </c>
    </row>
    <row r="49">
      <c r="A49" s="21" t="n">
        <v>45</v>
      </c>
      <c r="B49" s="22" t="inlineStr">
        <is>
          <t>Johnson &amp; Johnson</t>
        </is>
      </c>
      <c r="C49" s="23" t="inlineStr">
        <is>
          <t>Searched (live API)</t>
        </is>
      </c>
      <c r="D49" s="21" t="n">
        <v>0</v>
      </c>
      <c r="E49" s="24" t="inlineStr">
        <is>
          <t>Workday API (jj.wd5/JJ)</t>
        </is>
      </c>
      <c r="F49" s="25" t="inlineStr">
        <is>
          <t>Careers site</t>
        </is>
      </c>
    </row>
    <row r="50">
      <c r="A50" s="21" t="n">
        <v>46</v>
      </c>
      <c r="B50" s="22" t="inlineStr">
        <is>
          <t>PepsiCo</t>
        </is>
      </c>
      <c r="C50" s="23" t="inlineStr">
        <is>
          <t>Searched (live API)</t>
        </is>
      </c>
      <c r="D50" s="21" t="n">
        <v>0</v>
      </c>
      <c r="E50" s="24" t="inlineStr">
        <is>
          <t>Phenom jobs API (pepsicojobs.com)</t>
        </is>
      </c>
      <c r="F50" s="25" t="inlineStr">
        <is>
          <t>Careers site</t>
        </is>
      </c>
    </row>
    <row r="51">
      <c r="A51" s="21" t="n">
        <v>47</v>
      </c>
      <c r="B51" s="22" t="inlineStr">
        <is>
          <t>Boeing</t>
        </is>
      </c>
      <c r="C51" s="23" t="inlineStr">
        <is>
          <t>Searched (live API)</t>
        </is>
      </c>
      <c r="D51" s="21" t="n">
        <v>0</v>
      </c>
      <c r="E51" s="24" t="inlineStr">
        <is>
          <t>Workday API (boeing.wd1/EXTERNAL_CAREERS)</t>
        </is>
      </c>
      <c r="F51" s="25" t="inlineStr">
        <is>
          <t>Careers site</t>
        </is>
      </c>
    </row>
    <row r="52">
      <c r="A52" s="21" t="n">
        <v>48</v>
      </c>
      <c r="B52" s="22" t="inlineStr">
        <is>
          <t>UPS</t>
        </is>
      </c>
      <c r="C52" s="23" t="inlineStr">
        <is>
          <t>Searched (live API)</t>
        </is>
      </c>
      <c r="D52" s="21" t="n">
        <v>1</v>
      </c>
      <c r="E52" s="24" t="inlineStr">
        <is>
          <t>Workday API (hcmportal.wd5/Search)</t>
        </is>
      </c>
      <c r="F52" s="25" t="inlineStr">
        <is>
          <t>Careers site</t>
        </is>
      </c>
    </row>
    <row r="53">
      <c r="A53" s="21" t="n">
        <v>49</v>
      </c>
      <c r="B53" s="22" t="inlineStr">
        <is>
          <t>RTX</t>
        </is>
      </c>
      <c r="C53" s="23" t="inlineStr">
        <is>
          <t>Searched (live API)</t>
        </is>
      </c>
      <c r="D53" s="21" t="n">
        <v>2</v>
      </c>
      <c r="E53" s="24" t="inlineStr">
        <is>
          <t>Workday API (globalhr.wd5/REC_RTX_Ext_Gateway)</t>
        </is>
      </c>
      <c r="F53" s="25" t="inlineStr">
        <is>
          <t>Careers site</t>
        </is>
      </c>
    </row>
    <row r="54">
      <c r="A54" s="21" t="n">
        <v>50</v>
      </c>
      <c r="B54" s="22" t="inlineStr">
        <is>
          <t>FedEx</t>
        </is>
      </c>
      <c r="C54" s="23" t="inlineStr">
        <is>
          <t>Searched (live API)</t>
        </is>
      </c>
      <c r="D54" s="21" t="n">
        <v>0</v>
      </c>
      <c r="E54" s="24" t="inlineStr">
        <is>
          <t>Workday API (fedex.wd1/FDW_External_Career_Site)</t>
        </is>
      </c>
      <c r="F54" s="25" t="inlineStr">
        <is>
          <t>Careers site</t>
        </is>
      </c>
    </row>
    <row r="55">
      <c r="A55" s="21" t="n">
        <v>51</v>
      </c>
      <c r="B55" s="22" t="inlineStr">
        <is>
          <t>Progressive</t>
        </is>
      </c>
      <c r="C55" s="27" t="inlineStr">
        <is>
          <t>Not searched - blocked</t>
        </is>
      </c>
      <c r="D55" s="21" t="inlineStr">
        <is>
          <t>not searched</t>
        </is>
      </c>
      <c r="E55" s="24" t="inlineStr">
        <is>
          <t>Careers site returns 403 to non-browser clients</t>
        </is>
      </c>
      <c r="F55" s="25" t="inlineStr">
        <is>
          <t>Careers site</t>
        </is>
      </c>
    </row>
    <row r="56">
      <c r="A56" s="21" t="n">
        <v>52</v>
      </c>
      <c r="B56" s="22" t="inlineStr">
        <is>
          <t>Lowe's</t>
        </is>
      </c>
      <c r="C56" s="23" t="inlineStr">
        <is>
          <t>Searched (live API)</t>
        </is>
      </c>
      <c r="D56" s="21" t="n">
        <v>0</v>
      </c>
      <c r="E56" s="24" t="inlineStr">
        <is>
          <t>Workday API (lowes.wd5/LWS_External_CS)</t>
        </is>
      </c>
      <c r="F56" s="25" t="inlineStr">
        <is>
          <t>Careers site</t>
        </is>
      </c>
    </row>
    <row r="57">
      <c r="A57" s="21" t="n">
        <v>53</v>
      </c>
      <c r="B57" s="22" t="inlineStr">
        <is>
          <t>Energy Transfer</t>
        </is>
      </c>
      <c r="C57" s="26" t="inlineStr">
        <is>
          <t>Not searched - no API</t>
        </is>
      </c>
      <c r="D57" s="21" t="inlineStr">
        <is>
          <t>not searched</t>
        </is>
      </c>
      <c r="E57" s="24" t="inlineStr">
        <is>
          <t>No public JSON endpoint found</t>
        </is>
      </c>
      <c r="F57" s="25" t="inlineStr">
        <is>
          <t>Careers site</t>
        </is>
      </c>
    </row>
    <row r="58">
      <c r="A58" s="21" t="n">
        <v>54</v>
      </c>
      <c r="B58" s="22" t="inlineStr">
        <is>
          <t>Procter &amp; Gamble</t>
        </is>
      </c>
      <c r="C58" s="23" t="inlineStr">
        <is>
          <t>Searched (live API)</t>
        </is>
      </c>
      <c r="D58" s="21" t="n">
        <v>0</v>
      </c>
      <c r="E58" s="24" t="inlineStr">
        <is>
          <t>Workday API (pg.wd5/1000)</t>
        </is>
      </c>
      <c r="F58" s="25" t="inlineStr">
        <is>
          <t>Careers site</t>
        </is>
      </c>
    </row>
    <row r="59">
      <c r="A59" s="21" t="n">
        <v>55</v>
      </c>
      <c r="B59" s="22" t="inlineStr">
        <is>
          <t>Sysco</t>
        </is>
      </c>
      <c r="C59" s="23" t="inlineStr">
        <is>
          <t>Searched (live API)</t>
        </is>
      </c>
      <c r="D59" s="21" t="n">
        <v>0</v>
      </c>
      <c r="E59" s="24" t="inlineStr">
        <is>
          <t>Workday API (sysco.wd5/syscocareers)</t>
        </is>
      </c>
      <c r="F59" s="25" t="inlineStr">
        <is>
          <t>Careers site</t>
        </is>
      </c>
    </row>
    <row r="60">
      <c r="A60" s="21" t="n">
        <v>56</v>
      </c>
      <c r="B60" s="22" t="inlineStr">
        <is>
          <t>American Express</t>
        </is>
      </c>
      <c r="C60" s="23" t="inlineStr">
        <is>
          <t>Searched (live API)</t>
        </is>
      </c>
      <c r="D60" s="21" t="n">
        <v>0</v>
      </c>
      <c r="E60" s="24" t="inlineStr">
        <is>
          <t>Oracle Cloud recruiting API (egug)</t>
        </is>
      </c>
      <c r="F60" s="25" t="inlineStr">
        <is>
          <t>Careers site</t>
        </is>
      </c>
    </row>
    <row r="61">
      <c r="A61" s="21" t="n">
        <v>57</v>
      </c>
      <c r="B61" s="22" t="inlineStr">
        <is>
          <t>Albertsons</t>
        </is>
      </c>
      <c r="C61" s="23" t="inlineStr">
        <is>
          <t>Searched (live API)</t>
        </is>
      </c>
      <c r="D61" s="21" t="n">
        <v>1</v>
      </c>
      <c r="E61" s="24" t="inlineStr">
        <is>
          <t>Oracle Cloud recruiting API (eofd)</t>
        </is>
      </c>
      <c r="F61" s="25" t="inlineStr">
        <is>
          <t>Careers site</t>
        </is>
      </c>
    </row>
    <row r="62">
      <c r="A62" s="21" t="n">
        <v>58</v>
      </c>
      <c r="B62" s="22" t="inlineStr">
        <is>
          <t>Archer Daniels Midland</t>
        </is>
      </c>
      <c r="C62" s="26" t="inlineStr">
        <is>
          <t>Not searched - no API</t>
        </is>
      </c>
      <c r="D62" s="21" t="inlineStr">
        <is>
          <t>not searched</t>
        </is>
      </c>
      <c r="E62" s="24" t="inlineStr">
        <is>
          <t>No public JSON endpoint found</t>
        </is>
      </c>
      <c r="F62" s="25" t="inlineStr">
        <is>
          <t>Careers site</t>
        </is>
      </c>
    </row>
    <row r="63">
      <c r="A63" s="21" t="n">
        <v>59</v>
      </c>
      <c r="B63" s="22" t="inlineStr">
        <is>
          <t>MetLife</t>
        </is>
      </c>
      <c r="C63" s="26" t="inlineStr">
        <is>
          <t>Not searched - no API</t>
        </is>
      </c>
      <c r="D63" s="21" t="inlineStr">
        <is>
          <t>not searched</t>
        </is>
      </c>
      <c r="E63" s="24" t="inlineStr">
        <is>
          <t>Avature (no public API)</t>
        </is>
      </c>
      <c r="F63" s="25" t="inlineStr">
        <is>
          <t>Careers site</t>
        </is>
      </c>
    </row>
    <row r="64">
      <c r="A64" s="21" t="n">
        <v>60</v>
      </c>
      <c r="B64" s="22" t="inlineStr">
        <is>
          <t>HCA Healthcare</t>
        </is>
      </c>
      <c r="C64" s="23" t="inlineStr">
        <is>
          <t>Searched (live API)</t>
        </is>
      </c>
      <c r="D64" s="21" t="n">
        <v>0</v>
      </c>
      <c r="E64" s="24" t="inlineStr">
        <is>
          <t>Workday API (hcahealthcare.wd3/hcacareers)</t>
        </is>
      </c>
      <c r="F64" s="25" t="inlineStr">
        <is>
          <t>Careers site</t>
        </is>
      </c>
    </row>
    <row r="65">
      <c r="A65" s="21" t="n">
        <v>61</v>
      </c>
      <c r="B65" s="22" t="inlineStr">
        <is>
          <t>Lockheed Martin</t>
        </is>
      </c>
      <c r="C65" s="26" t="inlineStr">
        <is>
          <t>Not searched - no API</t>
        </is>
      </c>
      <c r="D65" s="21" t="inlineStr">
        <is>
          <t>not searched</t>
        </is>
      </c>
      <c r="E65" s="24" t="inlineStr">
        <is>
          <t>Avature (no public API)</t>
        </is>
      </c>
      <c r="F65" s="25" t="inlineStr">
        <is>
          <t>Careers site</t>
        </is>
      </c>
    </row>
    <row r="66">
      <c r="A66" s="21" t="n">
        <v>62</v>
      </c>
      <c r="B66" s="22" t="inlineStr">
        <is>
          <t>New York Life Insurance</t>
        </is>
      </c>
      <c r="C66" s="26" t="inlineStr">
        <is>
          <t>Not searched - no API</t>
        </is>
      </c>
      <c r="D66" s="21" t="inlineStr">
        <is>
          <t>not searched</t>
        </is>
      </c>
      <c r="E66" s="24" t="inlineStr">
        <is>
          <t>SuccessFactors (auth required)</t>
        </is>
      </c>
      <c r="F66" s="25" t="inlineStr">
        <is>
          <t>Careers site</t>
        </is>
      </c>
    </row>
    <row r="67">
      <c r="A67" s="21" t="n">
        <v>63</v>
      </c>
      <c r="B67" s="22" t="inlineStr">
        <is>
          <t>Capital One Financial</t>
        </is>
      </c>
      <c r="C67" s="23" t="inlineStr">
        <is>
          <t>Searched (live API)</t>
        </is>
      </c>
      <c r="D67" s="21" t="n">
        <v>10</v>
      </c>
      <c r="E67" s="24" t="inlineStr">
        <is>
          <t>Workday API (capitalone.wd12/Capital_One)</t>
        </is>
      </c>
      <c r="F67" s="25" t="inlineStr">
        <is>
          <t>Careers site</t>
        </is>
      </c>
    </row>
    <row r="68">
      <c r="A68" s="21" t="n">
        <v>64</v>
      </c>
      <c r="B68" s="22" t="inlineStr">
        <is>
          <t>Allstate</t>
        </is>
      </c>
      <c r="C68" s="23" t="inlineStr">
        <is>
          <t>Searched (live API)</t>
        </is>
      </c>
      <c r="D68" s="21" t="n">
        <v>0</v>
      </c>
      <c r="E68" s="24" t="inlineStr">
        <is>
          <t>Workday API (allstate.wd5/allstate_careers)</t>
        </is>
      </c>
      <c r="F68" s="25" t="inlineStr">
        <is>
          <t>Careers site</t>
        </is>
      </c>
    </row>
    <row r="69">
      <c r="A69" s="21" t="n">
        <v>65</v>
      </c>
      <c r="B69" s="22" t="inlineStr">
        <is>
          <t>Caterpillar</t>
        </is>
      </c>
      <c r="C69" s="23" t="inlineStr">
        <is>
          <t>Searched (live API)</t>
        </is>
      </c>
      <c r="D69" s="21" t="n">
        <v>0</v>
      </c>
      <c r="E69" s="24" t="inlineStr">
        <is>
          <t>Workday API (cat.wd5/CaterpillarCareers)</t>
        </is>
      </c>
      <c r="F69" s="25" t="inlineStr">
        <is>
          <t>Careers site</t>
        </is>
      </c>
    </row>
    <row r="70">
      <c r="A70" s="21" t="n">
        <v>66</v>
      </c>
      <c r="B70" s="22" t="inlineStr">
        <is>
          <t>IBM</t>
        </is>
      </c>
      <c r="C70" s="26" t="inlineStr">
        <is>
          <t>Not searched - no API</t>
        </is>
      </c>
      <c r="D70" s="21" t="inlineStr">
        <is>
          <t>not searched</t>
        </is>
      </c>
      <c r="E70" s="24" t="inlineStr">
        <is>
          <t>Custom SPA (no open endpoint)</t>
        </is>
      </c>
      <c r="F70" s="25" t="inlineStr">
        <is>
          <t>Careers site</t>
        </is>
      </c>
    </row>
    <row r="71">
      <c r="A71" s="21" t="n">
        <v>67</v>
      </c>
      <c r="B71" s="22" t="inlineStr">
        <is>
          <t>Eli Lilly</t>
        </is>
      </c>
      <c r="C71" s="23" t="inlineStr">
        <is>
          <t>Searched (live API)</t>
        </is>
      </c>
      <c r="D71" s="21" t="n">
        <v>0</v>
      </c>
      <c r="E71" s="24" t="inlineStr">
        <is>
          <t>Workday API (lilly.wd5/LLY)</t>
        </is>
      </c>
      <c r="F71" s="25" t="inlineStr">
        <is>
          <t>Careers site</t>
        </is>
      </c>
    </row>
    <row r="72">
      <c r="A72" s="21" t="n">
        <v>68</v>
      </c>
      <c r="B72" s="22" t="inlineStr">
        <is>
          <t>Merck</t>
        </is>
      </c>
      <c r="C72" s="23" t="inlineStr">
        <is>
          <t>Searched (live API)</t>
        </is>
      </c>
      <c r="D72" s="21" t="n">
        <v>0</v>
      </c>
      <c r="E72" s="24" t="inlineStr">
        <is>
          <t>Workday API (msd.wd5/SearchJobs)</t>
        </is>
      </c>
      <c r="F72" s="25" t="inlineStr">
        <is>
          <t>Careers site</t>
        </is>
      </c>
    </row>
    <row r="73">
      <c r="A73" s="21" t="n">
        <v>69</v>
      </c>
      <c r="B73" s="22" t="inlineStr">
        <is>
          <t>Nationwide</t>
        </is>
      </c>
      <c r="C73" s="23" t="inlineStr">
        <is>
          <t>Searched (live API)</t>
        </is>
      </c>
      <c r="D73" s="21" t="n">
        <v>0</v>
      </c>
      <c r="E73" s="24" t="inlineStr">
        <is>
          <t>Workday API (nationwide.wd1/Nationwide_Career)</t>
        </is>
      </c>
      <c r="F73" s="25" t="inlineStr">
        <is>
          <t>Careers site</t>
        </is>
      </c>
    </row>
    <row r="74">
      <c r="A74" s="21" t="n">
        <v>70</v>
      </c>
      <c r="B74" s="22" t="inlineStr">
        <is>
          <t>Broadcom</t>
        </is>
      </c>
      <c r="C74" s="23" t="inlineStr">
        <is>
          <t>Searched (live API)</t>
        </is>
      </c>
      <c r="D74" s="21" t="n">
        <v>0</v>
      </c>
      <c r="E74" s="24" t="inlineStr">
        <is>
          <t>Workday API (broadcom.wd1/External_Career)</t>
        </is>
      </c>
      <c r="F74" s="25" t="inlineStr">
        <is>
          <t>Careers site</t>
        </is>
      </c>
    </row>
    <row r="75">
      <c r="A75" s="21" t="n">
        <v>71</v>
      </c>
      <c r="B75" s="22" t="inlineStr">
        <is>
          <t>Delta Air Lines</t>
        </is>
      </c>
      <c r="C75" s="26" t="inlineStr">
        <is>
          <t>Not searched - no API</t>
        </is>
      </c>
      <c r="D75" s="21" t="inlineStr">
        <is>
          <t>not searched</t>
        </is>
      </c>
      <c r="E75" s="24" t="inlineStr">
        <is>
          <t>Avature (no public API)</t>
        </is>
      </c>
      <c r="F75" s="25" t="inlineStr">
        <is>
          <t>Careers site</t>
        </is>
      </c>
    </row>
    <row r="76">
      <c r="A76" s="21" t="n">
        <v>72</v>
      </c>
      <c r="B76" s="22" t="inlineStr">
        <is>
          <t>Publix Super Markets</t>
        </is>
      </c>
      <c r="C76" s="26" t="inlineStr">
        <is>
          <t>Not searched - no API</t>
        </is>
      </c>
      <c r="D76" s="21" t="inlineStr">
        <is>
          <t>not searched</t>
        </is>
      </c>
      <c r="E76" s="24" t="inlineStr">
        <is>
          <t>No public JSON endpoint found</t>
        </is>
      </c>
      <c r="F76" s="25" t="inlineStr">
        <is>
          <t>Careers site</t>
        </is>
      </c>
    </row>
    <row r="77">
      <c r="A77" s="21" t="n">
        <v>73</v>
      </c>
      <c r="B77" s="22" t="inlineStr">
        <is>
          <t>Pfizer</t>
        </is>
      </c>
      <c r="C77" s="23" t="inlineStr">
        <is>
          <t>Searched (live API)</t>
        </is>
      </c>
      <c r="D77" s="21" t="n">
        <v>0</v>
      </c>
      <c r="E77" s="24" t="inlineStr">
        <is>
          <t>Workday API (pfizer.wd1/PfizerCareers)</t>
        </is>
      </c>
      <c r="F77" s="25" t="inlineStr">
        <is>
          <t>Careers site</t>
        </is>
      </c>
    </row>
    <row r="78">
      <c r="A78" s="21" t="n">
        <v>74</v>
      </c>
      <c r="B78" s="22" t="inlineStr">
        <is>
          <t>TD Synnex</t>
        </is>
      </c>
      <c r="C78" s="26" t="inlineStr">
        <is>
          <t>Not searched - no API</t>
        </is>
      </c>
      <c r="D78" s="21" t="inlineStr">
        <is>
          <t>not searched</t>
        </is>
      </c>
      <c r="E78" s="24" t="inlineStr">
        <is>
          <t>No public JSON endpoint found</t>
        </is>
      </c>
      <c r="F78" s="25" t="inlineStr">
        <is>
          <t>Careers site</t>
        </is>
      </c>
    </row>
    <row r="79">
      <c r="A79" s="21" t="n">
        <v>75</v>
      </c>
      <c r="B79" s="22" t="inlineStr">
        <is>
          <t>ConocoPhillips</t>
        </is>
      </c>
      <c r="C79" s="23" t="inlineStr">
        <is>
          <t>Searched (live API)</t>
        </is>
      </c>
      <c r="D79" s="21" t="n">
        <v>0</v>
      </c>
      <c r="E79" s="24" t="inlineStr">
        <is>
          <t>Workday API (conocophillips.wd1/External)</t>
        </is>
      </c>
      <c r="F79" s="25" t="inlineStr">
        <is>
          <t>Careers site</t>
        </is>
      </c>
    </row>
    <row r="80">
      <c r="A80" s="21" t="n">
        <v>76</v>
      </c>
      <c r="B80" s="22" t="inlineStr">
        <is>
          <t>Galaxy Digital</t>
        </is>
      </c>
      <c r="C80" s="23" t="inlineStr">
        <is>
          <t>Searched (live API)</t>
        </is>
      </c>
      <c r="D80" s="21" t="n">
        <v>0</v>
      </c>
      <c r="E80" s="24" t="inlineStr">
        <is>
          <t>Greenhouse boards API</t>
        </is>
      </c>
      <c r="F80" s="25" t="inlineStr">
        <is>
          <t>Careers site</t>
        </is>
      </c>
    </row>
    <row r="81">
      <c r="A81" s="21" t="n">
        <v>77</v>
      </c>
      <c r="B81" s="22" t="inlineStr">
        <is>
          <t>AbbVie</t>
        </is>
      </c>
      <c r="C81" s="26" t="inlineStr">
        <is>
          <t>Not searched - no API</t>
        </is>
      </c>
      <c r="D81" s="21" t="inlineStr">
        <is>
          <t>not searched</t>
        </is>
      </c>
      <c r="E81" s="24" t="inlineStr">
        <is>
          <t>No public JSON endpoint found</t>
        </is>
      </c>
      <c r="F81" s="25" t="inlineStr">
        <is>
          <t>Careers site</t>
        </is>
      </c>
    </row>
    <row r="82">
      <c r="A82" s="21" t="n">
        <v>78</v>
      </c>
      <c r="B82" s="22" t="inlineStr">
        <is>
          <t>Prudential Financial</t>
        </is>
      </c>
      <c r="C82" s="23" t="inlineStr">
        <is>
          <t>Searched (live API)</t>
        </is>
      </c>
      <c r="D82" s="21" t="n">
        <v>0</v>
      </c>
      <c r="E82" s="24" t="inlineStr">
        <is>
          <t>Workday API (pru.wd5/Careers)</t>
        </is>
      </c>
      <c r="F82" s="25" t="inlineStr">
        <is>
          <t>Careers site</t>
        </is>
      </c>
    </row>
    <row r="83">
      <c r="A83" s="21" t="n">
        <v>79</v>
      </c>
      <c r="B83" s="22" t="inlineStr">
        <is>
          <t>TJX</t>
        </is>
      </c>
      <c r="C83" s="23" t="inlineStr">
        <is>
          <t>Searched (live API)</t>
        </is>
      </c>
      <c r="D83" s="21" t="n">
        <v>0</v>
      </c>
      <c r="E83" s="24" t="inlineStr">
        <is>
          <t>Workday API (tjx.wd1/TJX_EXTERNAL)</t>
        </is>
      </c>
      <c r="F83" s="25" t="inlineStr">
        <is>
          <t>Careers site</t>
        </is>
      </c>
    </row>
    <row r="84">
      <c r="A84" s="21" t="n">
        <v>80</v>
      </c>
      <c r="B84" s="22" t="inlineStr">
        <is>
          <t>Performance Food Group</t>
        </is>
      </c>
      <c r="C84" s="26" t="inlineStr">
        <is>
          <t>Not searched - no API</t>
        </is>
      </c>
      <c r="D84" s="21" t="inlineStr">
        <is>
          <t>not searched</t>
        </is>
      </c>
      <c r="E84" s="24" t="inlineStr">
        <is>
          <t>No public JSON endpoint found</t>
        </is>
      </c>
      <c r="F84" s="25" t="inlineStr">
        <is>
          <t>Careers site</t>
        </is>
      </c>
    </row>
    <row r="85">
      <c r="A85" s="21" t="n">
        <v>81</v>
      </c>
      <c r="B85" s="22" t="inlineStr">
        <is>
          <t>United Airlines Holdings</t>
        </is>
      </c>
      <c r="C85" s="26" t="inlineStr">
        <is>
          <t>Not searched - no API</t>
        </is>
      </c>
      <c r="D85" s="21" t="inlineStr">
        <is>
          <t>not searched</t>
        </is>
      </c>
      <c r="E85" s="24" t="inlineStr">
        <is>
          <t>No public JSON endpoint found</t>
        </is>
      </c>
      <c r="F85" s="25" t="inlineStr">
        <is>
          <t>Careers site</t>
        </is>
      </c>
    </row>
    <row r="86">
      <c r="A86" s="21" t="n">
        <v>82</v>
      </c>
      <c r="B86" s="22" t="inlineStr">
        <is>
          <t>Oracle</t>
        </is>
      </c>
      <c r="C86" s="23" t="inlineStr">
        <is>
          <t>Searched (live API)</t>
        </is>
      </c>
      <c r="D86" s="21" t="n">
        <v>2</v>
      </c>
      <c r="E86" s="24" t="inlineStr">
        <is>
          <t>Oracle Cloud recruiting API (eeho)</t>
        </is>
      </c>
      <c r="F86" s="25" t="inlineStr">
        <is>
          <t>Careers site</t>
        </is>
      </c>
    </row>
    <row r="87">
      <c r="A87" s="21" t="n">
        <v>83</v>
      </c>
      <c r="B87" s="22" t="inlineStr">
        <is>
          <t>Cisco Systems</t>
        </is>
      </c>
      <c r="C87" s="23" t="inlineStr">
        <is>
          <t>Searched (live API)</t>
        </is>
      </c>
      <c r="D87" s="21" t="n">
        <v>1</v>
      </c>
      <c r="E87" s="24" t="inlineStr">
        <is>
          <t>Workday API (cisco.wd5/Cisco_Careers)</t>
        </is>
      </c>
      <c r="F87" s="25" t="inlineStr">
        <is>
          <t>Careers site</t>
        </is>
      </c>
    </row>
    <row r="88">
      <c r="A88" s="21" t="n">
        <v>84</v>
      </c>
      <c r="B88" s="22" t="inlineStr">
        <is>
          <t>HP</t>
        </is>
      </c>
      <c r="C88" s="23" t="inlineStr">
        <is>
          <t>Searched (live API)</t>
        </is>
      </c>
      <c r="D88" s="21" t="n">
        <v>0</v>
      </c>
      <c r="E88" s="24" t="inlineStr">
        <is>
          <t>Workday API (hp.wd5/ExternalCareerSite)</t>
        </is>
      </c>
      <c r="F88" s="25" t="inlineStr">
        <is>
          <t>Careers site</t>
        </is>
      </c>
    </row>
    <row r="89">
      <c r="A89" s="21" t="n">
        <v>85</v>
      </c>
      <c r="B89" s="22" t="inlineStr">
        <is>
          <t>Charter Communications</t>
        </is>
      </c>
      <c r="C89" s="26" t="inlineStr">
        <is>
          <t>Not searched - no API</t>
        </is>
      </c>
      <c r="D89" s="21" t="inlineStr">
        <is>
          <t>not searched</t>
        </is>
      </c>
      <c r="E89" s="24" t="inlineStr">
        <is>
          <t>Radancy (HTML only)</t>
        </is>
      </c>
      <c r="F89" s="25" t="inlineStr">
        <is>
          <t>Careers site</t>
        </is>
      </c>
    </row>
    <row r="90">
      <c r="A90" s="21" t="n">
        <v>86</v>
      </c>
      <c r="B90" s="22" t="inlineStr">
        <is>
          <t>American Airlines Group</t>
        </is>
      </c>
      <c r="C90" s="27" t="inlineStr">
        <is>
          <t>Not searched - blocked</t>
        </is>
      </c>
      <c r="D90" s="21" t="inlineStr">
        <is>
          <t>not searched</t>
        </is>
      </c>
      <c r="E90" s="24" t="inlineStr">
        <is>
          <t>Careers site returns 403 to non-browser clients</t>
        </is>
      </c>
      <c r="F90" s="25" t="inlineStr">
        <is>
          <t>Careers site</t>
        </is>
      </c>
    </row>
    <row r="91">
      <c r="A91" s="21" t="n">
        <v>87</v>
      </c>
      <c r="B91" s="22" t="inlineStr">
        <is>
          <t>Tyson Foods</t>
        </is>
      </c>
      <c r="C91" s="23" t="inlineStr">
        <is>
          <t>Searched (live API)</t>
        </is>
      </c>
      <c r="D91" s="21" t="n">
        <v>0</v>
      </c>
      <c r="E91" s="24" t="inlineStr">
        <is>
          <t>Workday API (tysonfoods.wd5/TSN)</t>
        </is>
      </c>
      <c r="F91" s="25" t="inlineStr">
        <is>
          <t>Careers site</t>
        </is>
      </c>
    </row>
    <row r="92">
      <c r="A92" s="21" t="n">
        <v>88</v>
      </c>
      <c r="B92" s="22" t="inlineStr">
        <is>
          <t>Intel</t>
        </is>
      </c>
      <c r="C92" s="23" t="inlineStr">
        <is>
          <t>Searched (live API)</t>
        </is>
      </c>
      <c r="D92" s="21" t="n">
        <v>1</v>
      </c>
      <c r="E92" s="24" t="inlineStr">
        <is>
          <t>Workday API (intel.wd1/External)</t>
        </is>
      </c>
      <c r="F92" s="25" t="inlineStr">
        <is>
          <t>Careers site</t>
        </is>
      </c>
    </row>
    <row r="93">
      <c r="A93" s="21" t="n">
        <v>89</v>
      </c>
      <c r="B93" s="22" t="inlineStr">
        <is>
          <t>Enterprise Products Partners</t>
        </is>
      </c>
      <c r="C93" s="26" t="inlineStr">
        <is>
          <t>Not searched - no API</t>
        </is>
      </c>
      <c r="D93" s="21" t="inlineStr">
        <is>
          <t>not searched</t>
        </is>
      </c>
      <c r="E93" s="24" t="inlineStr">
        <is>
          <t>No public JSON endpoint found</t>
        </is>
      </c>
      <c r="F93" s="25" t="inlineStr">
        <is>
          <t>Careers site</t>
        </is>
      </c>
    </row>
    <row r="94">
      <c r="A94" s="21" t="n">
        <v>90</v>
      </c>
      <c r="B94" s="22" t="inlineStr">
        <is>
          <t>Ingram Micro Holding</t>
        </is>
      </c>
      <c r="C94" s="26" t="inlineStr">
        <is>
          <t>Not searched - no API</t>
        </is>
      </c>
      <c r="D94" s="21" t="inlineStr">
        <is>
          <t>not searched</t>
        </is>
      </c>
      <c r="E94" s="24" t="inlineStr">
        <is>
          <t>No public JSON endpoint found</t>
        </is>
      </c>
      <c r="F94" s="25" t="inlineStr">
        <is>
          <t>Careers site</t>
        </is>
      </c>
    </row>
    <row r="95">
      <c r="A95" s="21" t="n">
        <v>91</v>
      </c>
      <c r="B95" s="22" t="inlineStr">
        <is>
          <t>General Dynamics</t>
        </is>
      </c>
      <c r="C95" s="23" t="inlineStr">
        <is>
          <t>Searched (live API)</t>
        </is>
      </c>
      <c r="D95" s="21" t="n">
        <v>7</v>
      </c>
      <c r="E95" s="24" t="inlineStr">
        <is>
          <t>Workday API (gdit.wd5/External_Career_Site)</t>
        </is>
      </c>
      <c r="F95" s="25" t="inlineStr">
        <is>
          <t>Careers site</t>
        </is>
      </c>
    </row>
    <row r="96">
      <c r="A96" s="21" t="n">
        <v>92</v>
      </c>
      <c r="B96" s="22" t="inlineStr">
        <is>
          <t>Uber Technologies</t>
        </is>
      </c>
      <c r="C96" s="23" t="inlineStr">
        <is>
          <t>Searched (live API)</t>
        </is>
      </c>
      <c r="D96" s="21" t="n">
        <v>0</v>
      </c>
      <c r="E96" s="24" t="inlineStr">
        <is>
          <t>Oracle Cloud recruiting API (iaziqy)</t>
        </is>
      </c>
      <c r="F96" s="25" t="inlineStr">
        <is>
          <t>Careers site</t>
        </is>
      </c>
    </row>
    <row r="97">
      <c r="A97" s="21" t="n">
        <v>93</v>
      </c>
      <c r="B97" s="22" t="inlineStr">
        <is>
          <t>USAA</t>
        </is>
      </c>
      <c r="C97" s="23" t="inlineStr">
        <is>
          <t>Searched (live API)</t>
        </is>
      </c>
      <c r="D97" s="21" t="n">
        <v>1</v>
      </c>
      <c r="E97" s="24" t="inlineStr">
        <is>
          <t>Workday API (usaa.wd1/USAAJOBSWD)</t>
        </is>
      </c>
      <c r="F97" s="25" t="inlineStr">
        <is>
          <t>Careers site</t>
        </is>
      </c>
    </row>
    <row r="98">
      <c r="A98" s="21" t="n">
        <v>94</v>
      </c>
      <c r="B98" s="22" t="inlineStr">
        <is>
          <t>TIAA</t>
        </is>
      </c>
      <c r="C98" s="23" t="inlineStr">
        <is>
          <t>Searched (live API)</t>
        </is>
      </c>
      <c r="D98" s="21" t="n">
        <v>1</v>
      </c>
      <c r="E98" s="24" t="inlineStr">
        <is>
          <t>Workday API (tiaa.wd1/Search)</t>
        </is>
      </c>
      <c r="F98" s="25" t="inlineStr">
        <is>
          <t>Careers site</t>
        </is>
      </c>
    </row>
    <row r="99">
      <c r="A99" s="21" t="n">
        <v>95</v>
      </c>
      <c r="B99" s="22" t="inlineStr">
        <is>
          <t>Liberty Mutual Insurance Group</t>
        </is>
      </c>
      <c r="C99" s="26" t="inlineStr">
        <is>
          <t>Not searched - no API</t>
        </is>
      </c>
      <c r="D99" s="21" t="inlineStr">
        <is>
          <t>not searched</t>
        </is>
      </c>
      <c r="E99" s="24" t="inlineStr">
        <is>
          <t>iCIMS (no public search API)</t>
        </is>
      </c>
      <c r="F99" s="25" t="inlineStr">
        <is>
          <t>Careers site</t>
        </is>
      </c>
    </row>
    <row r="100">
      <c r="A100" s="21" t="n">
        <v>96</v>
      </c>
      <c r="B100" s="22" t="inlineStr">
        <is>
          <t>Travelers</t>
        </is>
      </c>
      <c r="C100" s="23" t="inlineStr">
        <is>
          <t>Searched (live API)</t>
        </is>
      </c>
      <c r="D100" s="21" t="n">
        <v>0</v>
      </c>
      <c r="E100" s="24" t="inlineStr">
        <is>
          <t>Workday API (travelers.wd5/External)</t>
        </is>
      </c>
      <c r="F100" s="25" t="inlineStr">
        <is>
          <t>Careers site</t>
        </is>
      </c>
    </row>
    <row r="101">
      <c r="A101" s="21" t="n">
        <v>97</v>
      </c>
      <c r="B101" s="22" t="inlineStr">
        <is>
          <t>Bristol-Myers Squibb</t>
        </is>
      </c>
      <c r="C101" s="23" t="inlineStr">
        <is>
          <t>Searched (live API)</t>
        </is>
      </c>
      <c r="D101" s="21" t="n">
        <v>0</v>
      </c>
      <c r="E101" s="24" t="inlineStr">
        <is>
          <t>Workday API (bristolmyerssquibb.wd5/BMS)</t>
        </is>
      </c>
      <c r="F101" s="25" t="inlineStr">
        <is>
          <t>Careers site</t>
        </is>
      </c>
    </row>
    <row r="102">
      <c r="A102" s="21" t="n">
        <v>98</v>
      </c>
      <c r="B102" s="22" t="inlineStr">
        <is>
          <t>Coca-Cola</t>
        </is>
      </c>
      <c r="C102" s="23" t="inlineStr">
        <is>
          <t>Searched (live API)</t>
        </is>
      </c>
      <c r="D102" s="21" t="n">
        <v>1</v>
      </c>
      <c r="E102" s="24" t="inlineStr">
        <is>
          <t>Workday API (coke.wd1/coca-cola-careers)</t>
        </is>
      </c>
      <c r="F102" s="25" t="inlineStr">
        <is>
          <t>Careers site</t>
        </is>
      </c>
    </row>
    <row r="103">
      <c r="A103" s="21" t="n">
        <v>99</v>
      </c>
      <c r="B103" s="22" t="inlineStr">
        <is>
          <t>Nike</t>
        </is>
      </c>
      <c r="C103" s="23" t="inlineStr">
        <is>
          <t>Searched (live API)</t>
        </is>
      </c>
      <c r="D103" s="21" t="n">
        <v>0</v>
      </c>
      <c r="E103" s="24" t="inlineStr">
        <is>
          <t>Workday API (nike.wd1/nke)</t>
        </is>
      </c>
      <c r="F103" s="25" t="inlineStr">
        <is>
          <t>Careers site</t>
        </is>
      </c>
    </row>
    <row r="104">
      <c r="A104" s="21" t="n">
        <v>100</v>
      </c>
      <c r="B104" s="22" t="inlineStr">
        <is>
          <t>Massachusetts Mutual Life</t>
        </is>
      </c>
      <c r="C104" s="23" t="inlineStr">
        <is>
          <t>Searched (live API)</t>
        </is>
      </c>
      <c r="D104" s="21" t="n">
        <v>0</v>
      </c>
      <c r="E104" s="24" t="inlineStr">
        <is>
          <t>Workday API (massmutual.wd1/MMAscendCareers)</t>
        </is>
      </c>
      <c r="F104" s="25" t="inlineStr">
        <is>
          <t>Careers site</t>
        </is>
      </c>
    </row>
    <row r="106">
      <c r="A106" s="18" t="inlineStr">
        <is>
          <t>Coverage summary</t>
        </is>
      </c>
    </row>
    <row r="107">
      <c r="A107" s="19" t="inlineStr">
        <is>
          <t>Searched via live API</t>
        </is>
      </c>
      <c r="B107" s="20">
        <f>COUNTIF(C5:C104,"Searched (live API)")</f>
        <v/>
      </c>
    </row>
    <row r="108">
      <c r="A108" s="19" t="inlineStr">
        <is>
          <t>Not searched - no public API</t>
        </is>
      </c>
      <c r="B108" s="20">
        <f>COUNTIF(C5:C104,"Not searched - no API")</f>
        <v/>
      </c>
    </row>
    <row r="109">
      <c r="A109" s="19" t="inlineStr">
        <is>
          <t>Not searched - blocked</t>
        </is>
      </c>
      <c r="B109" s="20">
        <f>COUNTIF(C5:C104,"Not searched - blocked")</f>
        <v/>
      </c>
    </row>
    <row r="110">
      <c r="A110" s="19" t="inlineStr">
        <is>
          <t>Total companies</t>
        </is>
      </c>
      <c r="B110" s="20">
        <f>COUNTA(B5:B104)</f>
        <v/>
      </c>
    </row>
  </sheetData>
  <autoFilter ref="A4:F104"/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4" r:id="rId40"/>
    <hyperlink xmlns:r="http://schemas.openxmlformats.org/officeDocument/2006/relationships" ref="F45" r:id="rId41"/>
    <hyperlink xmlns:r="http://schemas.openxmlformats.org/officeDocument/2006/relationships" ref="F46" r:id="rId42"/>
    <hyperlink xmlns:r="http://schemas.openxmlformats.org/officeDocument/2006/relationships" ref="F47" r:id="rId43"/>
    <hyperlink xmlns:r="http://schemas.openxmlformats.org/officeDocument/2006/relationships" ref="F48" r:id="rId44"/>
    <hyperlink xmlns:r="http://schemas.openxmlformats.org/officeDocument/2006/relationships" ref="F49" r:id="rId45"/>
    <hyperlink xmlns:r="http://schemas.openxmlformats.org/officeDocument/2006/relationships" ref="F50" r:id="rId46"/>
    <hyperlink xmlns:r="http://schemas.openxmlformats.org/officeDocument/2006/relationships" ref="F51" r:id="rId47"/>
    <hyperlink xmlns:r="http://schemas.openxmlformats.org/officeDocument/2006/relationships" ref="F52" r:id="rId48"/>
    <hyperlink xmlns:r="http://schemas.openxmlformats.org/officeDocument/2006/relationships" ref="F53" r:id="rId49"/>
    <hyperlink xmlns:r="http://schemas.openxmlformats.org/officeDocument/2006/relationships" ref="F54" r:id="rId50"/>
    <hyperlink xmlns:r="http://schemas.openxmlformats.org/officeDocument/2006/relationships" ref="F55" r:id="rId51"/>
    <hyperlink xmlns:r="http://schemas.openxmlformats.org/officeDocument/2006/relationships" ref="F56" r:id="rId52"/>
    <hyperlink xmlns:r="http://schemas.openxmlformats.org/officeDocument/2006/relationships" ref="F57" r:id="rId53"/>
    <hyperlink xmlns:r="http://schemas.openxmlformats.org/officeDocument/2006/relationships" ref="F58" r:id="rId54"/>
    <hyperlink xmlns:r="http://schemas.openxmlformats.org/officeDocument/2006/relationships" ref="F59" r:id="rId55"/>
    <hyperlink xmlns:r="http://schemas.openxmlformats.org/officeDocument/2006/relationships" ref="F60" r:id="rId56"/>
    <hyperlink xmlns:r="http://schemas.openxmlformats.org/officeDocument/2006/relationships" ref="F61" r:id="rId57"/>
    <hyperlink xmlns:r="http://schemas.openxmlformats.org/officeDocument/2006/relationships" ref="F62" r:id="rId58"/>
    <hyperlink xmlns:r="http://schemas.openxmlformats.org/officeDocument/2006/relationships" ref="F63" r:id="rId59"/>
    <hyperlink xmlns:r="http://schemas.openxmlformats.org/officeDocument/2006/relationships" ref="F64" r:id="rId60"/>
    <hyperlink xmlns:r="http://schemas.openxmlformats.org/officeDocument/2006/relationships" ref="F65" r:id="rId61"/>
    <hyperlink xmlns:r="http://schemas.openxmlformats.org/officeDocument/2006/relationships" ref="F66" r:id="rId62"/>
    <hyperlink xmlns:r="http://schemas.openxmlformats.org/officeDocument/2006/relationships" ref="F67" r:id="rId63"/>
    <hyperlink xmlns:r="http://schemas.openxmlformats.org/officeDocument/2006/relationships" ref="F68" r:id="rId64"/>
    <hyperlink xmlns:r="http://schemas.openxmlformats.org/officeDocument/2006/relationships" ref="F69" r:id="rId65"/>
    <hyperlink xmlns:r="http://schemas.openxmlformats.org/officeDocument/2006/relationships" ref="F70" r:id="rId66"/>
    <hyperlink xmlns:r="http://schemas.openxmlformats.org/officeDocument/2006/relationships" ref="F71" r:id="rId67"/>
    <hyperlink xmlns:r="http://schemas.openxmlformats.org/officeDocument/2006/relationships" ref="F72" r:id="rId68"/>
    <hyperlink xmlns:r="http://schemas.openxmlformats.org/officeDocument/2006/relationships" ref="F73" r:id="rId69"/>
    <hyperlink xmlns:r="http://schemas.openxmlformats.org/officeDocument/2006/relationships" ref="F74" r:id="rId70"/>
    <hyperlink xmlns:r="http://schemas.openxmlformats.org/officeDocument/2006/relationships" ref="F75" r:id="rId71"/>
    <hyperlink xmlns:r="http://schemas.openxmlformats.org/officeDocument/2006/relationships" ref="F76" r:id="rId72"/>
    <hyperlink xmlns:r="http://schemas.openxmlformats.org/officeDocument/2006/relationships" ref="F77" r:id="rId73"/>
    <hyperlink xmlns:r="http://schemas.openxmlformats.org/officeDocument/2006/relationships" ref="F78" r:id="rId74"/>
    <hyperlink xmlns:r="http://schemas.openxmlformats.org/officeDocument/2006/relationships" ref="F79" r:id="rId75"/>
    <hyperlink xmlns:r="http://schemas.openxmlformats.org/officeDocument/2006/relationships" ref="F80" r:id="rId76"/>
    <hyperlink xmlns:r="http://schemas.openxmlformats.org/officeDocument/2006/relationships" ref="F81" r:id="rId77"/>
    <hyperlink xmlns:r="http://schemas.openxmlformats.org/officeDocument/2006/relationships" ref="F82" r:id="rId78"/>
    <hyperlink xmlns:r="http://schemas.openxmlformats.org/officeDocument/2006/relationships" ref="F83" r:id="rId79"/>
    <hyperlink xmlns:r="http://schemas.openxmlformats.org/officeDocument/2006/relationships" ref="F84" r:id="rId80"/>
    <hyperlink xmlns:r="http://schemas.openxmlformats.org/officeDocument/2006/relationships" ref="F85" r:id="rId81"/>
    <hyperlink xmlns:r="http://schemas.openxmlformats.org/officeDocument/2006/relationships" ref="F86" r:id="rId82"/>
    <hyperlink xmlns:r="http://schemas.openxmlformats.org/officeDocument/2006/relationships" ref="F87" r:id="rId83"/>
    <hyperlink xmlns:r="http://schemas.openxmlformats.org/officeDocument/2006/relationships" ref="F88" r:id="rId84"/>
    <hyperlink xmlns:r="http://schemas.openxmlformats.org/officeDocument/2006/relationships" ref="F89" r:id="rId85"/>
    <hyperlink xmlns:r="http://schemas.openxmlformats.org/officeDocument/2006/relationships" ref="F90" r:id="rId86"/>
    <hyperlink xmlns:r="http://schemas.openxmlformats.org/officeDocument/2006/relationships" ref="F91" r:id="rId87"/>
    <hyperlink xmlns:r="http://schemas.openxmlformats.org/officeDocument/2006/relationships" ref="F92" r:id="rId88"/>
    <hyperlink xmlns:r="http://schemas.openxmlformats.org/officeDocument/2006/relationships" ref="F93" r:id="rId89"/>
    <hyperlink xmlns:r="http://schemas.openxmlformats.org/officeDocument/2006/relationships" ref="F94" r:id="rId90"/>
    <hyperlink xmlns:r="http://schemas.openxmlformats.org/officeDocument/2006/relationships" ref="F95" r:id="rId91"/>
    <hyperlink xmlns:r="http://schemas.openxmlformats.org/officeDocument/2006/relationships" ref="F96" r:id="rId92"/>
    <hyperlink xmlns:r="http://schemas.openxmlformats.org/officeDocument/2006/relationships" ref="F97" r:id="rId93"/>
    <hyperlink xmlns:r="http://schemas.openxmlformats.org/officeDocument/2006/relationships" ref="F98" r:id="rId94"/>
    <hyperlink xmlns:r="http://schemas.openxmlformats.org/officeDocument/2006/relationships" ref="F99" r:id="rId95"/>
    <hyperlink xmlns:r="http://schemas.openxmlformats.org/officeDocument/2006/relationships" ref="F100" r:id="rId96"/>
    <hyperlink xmlns:r="http://schemas.openxmlformats.org/officeDocument/2006/relationships" ref="F101" r:id="rId97"/>
    <hyperlink xmlns:r="http://schemas.openxmlformats.org/officeDocument/2006/relationships" ref="F102" r:id="rId98"/>
    <hyperlink xmlns:r="http://schemas.openxmlformats.org/officeDocument/2006/relationships" ref="F103" r:id="rId99"/>
    <hyperlink xmlns:r="http://schemas.openxmlformats.org/officeDocument/2006/relationships" ref="F104" r:id="rId10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How this file was built - and what it does not cover</t>
        </is>
      </c>
    </row>
    <row r="3">
      <c r="A3" s="18" t="inlineStr">
        <is>
          <t>What you asked for</t>
        </is>
      </c>
    </row>
    <row r="4" ht="39" customHeight="1">
      <c r="A4" s="28" t="inlineStr">
        <is>
          <t>Data Analyst / Senior Data Analyst / Business Analyst roles (plus close title variants such as 'Sr. Data Analyst', 'Data Analyst II', 'Business Data Analyst') at Fortune 100 companies, US locations only, posted within the last 24-72 hours.</t>
        </is>
      </c>
    </row>
    <row r="5" ht="15" customHeight="1">
      <c r="A5" s="28" t="inlineStr"/>
    </row>
    <row r="6">
      <c r="A6" s="18" t="inlineStr">
        <is>
          <t>Where the data comes from</t>
        </is>
      </c>
    </row>
    <row r="7" ht="39" customHeight="1">
      <c r="A7" s="28" t="inlineStr">
        <is>
          <t>Every posting was read directly from the employer's own applicant-tracking system over its public JSON endpoint - not from a job aggregator and not from a search engine. Five platforms were used: Workday (56 companies), Oracle Cloud Recruiting (6), Phenom (3), Amazon's own jobs API, and Greenhouse (1).</t>
        </is>
      </c>
    </row>
    <row r="8" ht="39" customHeight="1">
      <c r="A8" s="28" t="inlineStr">
        <is>
          <t>Posting dates come from each system's own date field. For the Workday companies the date was cross-checked against the site's 'Posted Today / N Days Ago' label - all 61 matches agreed on both, which is why the Posted Date column can be trusted.</t>
        </is>
      </c>
    </row>
    <row r="9" ht="15" customHeight="1">
      <c r="A9" s="28" t="inlineStr"/>
    </row>
    <row r="10">
      <c r="A10" s="18" t="inlineStr">
        <is>
          <t>Coverage: 67 of 100 searched</t>
        </is>
      </c>
    </row>
    <row r="11" ht="39" customHeight="1">
      <c r="A11" s="28" t="inlineStr">
        <is>
          <t>33 companies could not be searched. 26 have no public JSON endpoint (Radancy, SuccessFactors, Avature and iCIMS career sites serve HTML only, and some run custom single-page apps). 7 actively block automated access - Microsoft, Tesla, Apple, Google, Meta, Progressive and American Airlines.</t>
        </is>
      </c>
    </row>
    <row r="12" ht="39" customHeight="1">
      <c r="A12" s="28" t="inlineStr">
        <is>
          <t>This means the main sheet is a floor, not a ceiling. It is complete and accurate for the 67 companies searched. A company absent from the results either genuinely has no fresh posting, or was one of the 33 that could not be searched - the Coverage tab tells you which, company by company.</t>
        </is>
      </c>
    </row>
    <row r="13" ht="15" customHeight="1">
      <c r="A13" s="28" t="inlineStr"/>
    </row>
    <row r="14">
      <c r="A14" s="18" t="inlineStr">
        <is>
          <t>How US-only was enforced</t>
        </is>
      </c>
    </row>
    <row r="15" ht="39" customHeight="1">
      <c r="A15" s="28" t="inlineStr">
        <is>
          <t>Postings were resolved to their full location list, including additional locations hidden behind a '3 Locations' label, then filtered to US states, US territories and US-based remote roles. Non-US matches (India, Canada, Mexico and similar) were dropped.</t>
        </is>
      </c>
    </row>
    <row r="16" ht="15" customHeight="1">
      <c r="A16" s="28" t="inlineStr"/>
    </row>
    <row r="17">
      <c r="A17" s="18" t="inlineStr">
        <is>
          <t>Freshness</t>
        </is>
      </c>
    </row>
    <row r="18" ht="26" customHeight="1">
      <c r="A18" s="28" t="inlineStr">
        <is>
          <t>Job postings move fast - roles get filled or pulled within days and new ones appear hourly. This is a snapshot as of the pull date. Re-run it before relying on it a week from now.</t>
        </is>
      </c>
    </row>
    <row r="19" ht="15" customHeight="1">
      <c r="A19" s="28" t="inlineStr"/>
    </row>
    <row r="20">
      <c r="A20" s="18" t="inlineStr">
        <is>
          <t>Fortune 100 list</t>
        </is>
      </c>
    </row>
    <row r="21" ht="26" customHeight="1">
      <c r="A21" s="28" t="inlineStr">
        <is>
          <t>Ranking source: us500.com Fortune 500 listing. Exact ordering varies slightly between publication years; the set of 100 companies is the standard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2026-08-13T22:49:58Z</dcterms:created>
  <dcterms:modified xsi:type="dcterms:W3CDTF">2026-08-13T22:49:58Z</dcterms:modified>
</cp:coreProperties>
</file>